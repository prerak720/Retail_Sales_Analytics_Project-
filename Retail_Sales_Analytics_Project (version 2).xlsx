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6.xml" ContentType="application/vnd.openxmlformats-officedocument.drawingml.chart+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24226"/>
  <mc:AlternateContent xmlns:mc="http://schemas.openxmlformats.org/markup-compatibility/2006">
    <mc:Choice Requires="x15">
      <x15ac:absPath xmlns:x15ac="http://schemas.microsoft.com/office/spreadsheetml/2010/11/ac" url="C:\Users\Prerak\Desktop\"/>
    </mc:Choice>
  </mc:AlternateContent>
  <xr:revisionPtr revIDLastSave="0" documentId="13_ncr:10000001_{61C51AE5-25FF-4FFA-9262-158E7A896367}" xr6:coauthVersionLast="47" xr6:coauthVersionMax="47" xr10:uidLastSave="{00000000-0000-0000-0000-000000000000}"/>
  <bookViews>
    <workbookView xWindow="-108" yWindow="-108" windowWidth="23256" windowHeight="13896" activeTab="3" xr2:uid="{00000000-000D-0000-FFFF-FFFF00000000}"/>
  </bookViews>
  <sheets>
    <sheet name="Data" sheetId="3" r:id="rId1"/>
    <sheet name="Qustions " sheetId="2" r:id="rId2"/>
    <sheet name="Data Cleaning &amp; Transf" sheetId="1" r:id="rId3"/>
    <sheet name="EDA" sheetId="4" r:id="rId4"/>
    <sheet name="Advanced Analysis" sheetId="17" r:id="rId5"/>
    <sheet name="Pviot(advance Analysts) " sheetId="14" r:id="rId6"/>
    <sheet name="Dashboard Tasks (Visualization)" sheetId="32" r:id="rId7"/>
    <sheet name="backend " sheetId="34" r:id="rId8"/>
  </sheets>
  <definedNames>
    <definedName name="_xlchart.v1.0" hidden="1">'Data Cleaning &amp; Transf'!$H$1</definedName>
    <definedName name="_xlchart.v1.1" hidden="1">'Data Cleaning &amp; Transf'!$H$2:$H$501</definedName>
    <definedName name="avg">_xlfn.LAMBDA(_xlpm.group_range,_xlpm.profit_range,     _xlfn.LET(         _xlpm.uniq, _xlfn.UNIQUE(_xlpm.group_range),         _xlpm.avg_profit, _xlfn.MAP(_xlpm.uniq, _xlfn.LAMBDA(_xlpm.g, AVERAGEIF(_xlpm.group_range, _xlpm.g, _xlpm.profit_range))),         _xlfn.HSTACK(_xlpm.uniq, _xlpm.avg_profit)     ) )</definedName>
    <definedName name="Slicer_Category">#N/A</definedName>
    <definedName name="Slicer_Customer_Type">#N/A</definedName>
  </definedNames>
  <calcPr calcId="191029"/>
  <pivotCaches>
    <pivotCache cacheId="0" r:id="rId9"/>
    <pivotCache cacheId="1" r:id="rId10"/>
    <pivotCache cacheId="3" r:id="rId11"/>
  </pivotCaches>
  <fileRecoveryPr repairLoad="1"/>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74" i="34" l="1" a="1"/>
  <c r="T74" i="34" s="1"/>
  <c r="T78" i="34" a="1"/>
  <c r="T78" i="34" s="1"/>
  <c r="T77" i="34" a="1"/>
  <c r="T77" i="34" s="1"/>
  <c r="T76" i="34" a="1"/>
  <c r="T76" i="34" s="1"/>
  <c r="T75" i="34" a="1"/>
  <c r="T75" i="34" s="1"/>
  <c r="F43" i="17"/>
  <c r="F43" i="17" a="1"/>
  <c r="F38" i="17"/>
  <c r="E38" i="17"/>
  <c r="F37" i="17"/>
  <c r="E37" i="17"/>
  <c r="F36" i="17"/>
  <c r="E36" i="17"/>
  <c r="F35" i="17"/>
  <c r="E35" i="17"/>
  <c r="F34" i="17"/>
  <c r="E34" i="17"/>
  <c r="F33" i="17"/>
  <c r="E33" i="17"/>
  <c r="F32" i="17"/>
  <c r="E32" i="17"/>
  <c r="F31" i="17"/>
  <c r="E31" i="17"/>
  <c r="F30" i="17"/>
  <c r="E30" i="17"/>
  <c r="F29" i="17"/>
  <c r="E29" i="17"/>
  <c r="F28" i="17"/>
  <c r="E28" i="17"/>
  <c r="G72" i="4"/>
  <c r="G72" i="4" a="1"/>
  <c r="G59" i="4"/>
  <c r="G59" i="4" a="1"/>
  <c r="G43" i="4"/>
  <c r="G43" i="4" a="1"/>
  <c r="G40" i="4"/>
  <c r="G40" i="4" a="1"/>
  <c r="G37" i="4"/>
  <c r="G37" i="4" a="1"/>
  <c r="G34" i="4"/>
  <c r="G34" i="4" a="1"/>
  <c r="K31" i="4"/>
  <c r="K31" i="4" a="1"/>
  <c r="G31" i="4"/>
  <c r="G6" i="4"/>
  <c r="G6" i="4" a="1"/>
  <c r="G3" i="4"/>
  <c r="G3" i="4" a="1"/>
  <c r="N501" i="1"/>
  <c r="N501" i="1" a="1"/>
  <c r="M501" i="1"/>
  <c r="C501" i="1"/>
  <c r="N500" i="1"/>
  <c r="N500" i="1" a="1"/>
  <c r="M500" i="1"/>
  <c r="C500" i="1"/>
  <c r="N499" i="1"/>
  <c r="N499" i="1" a="1"/>
  <c r="M499" i="1"/>
  <c r="C499" i="1"/>
  <c r="N498" i="1"/>
  <c r="N498" i="1" a="1"/>
  <c r="M498" i="1"/>
  <c r="C498" i="1"/>
  <c r="N497" i="1"/>
  <c r="N497" i="1" a="1"/>
  <c r="M497" i="1"/>
  <c r="C497" i="1"/>
  <c r="N496" i="1"/>
  <c r="N496" i="1" a="1"/>
  <c r="M496" i="1"/>
  <c r="C496" i="1"/>
  <c r="N495" i="1"/>
  <c r="N495" i="1" a="1"/>
  <c r="M495" i="1"/>
  <c r="C495" i="1"/>
  <c r="N494" i="1"/>
  <c r="N494" i="1" a="1"/>
  <c r="M494" i="1"/>
  <c r="C494" i="1"/>
  <c r="N493" i="1"/>
  <c r="N493" i="1" a="1"/>
  <c r="M493" i="1"/>
  <c r="C493" i="1"/>
  <c r="N492" i="1"/>
  <c r="N492" i="1" a="1"/>
  <c r="M492" i="1"/>
  <c r="C492" i="1"/>
  <c r="N491" i="1"/>
  <c r="N491" i="1" a="1"/>
  <c r="M491" i="1"/>
  <c r="C491" i="1"/>
  <c r="N490" i="1"/>
  <c r="N490" i="1" a="1"/>
  <c r="M490" i="1"/>
  <c r="C490" i="1"/>
  <c r="N489" i="1"/>
  <c r="N489" i="1" a="1"/>
  <c r="M489" i="1"/>
  <c r="C489" i="1"/>
  <c r="N488" i="1"/>
  <c r="N488" i="1" a="1"/>
  <c r="M488" i="1"/>
  <c r="C488" i="1"/>
  <c r="N487" i="1"/>
  <c r="N487" i="1" a="1"/>
  <c r="M487" i="1"/>
  <c r="C487" i="1"/>
  <c r="N486" i="1"/>
  <c r="N486" i="1" a="1"/>
  <c r="M486" i="1"/>
  <c r="C486" i="1"/>
  <c r="N485" i="1"/>
  <c r="N485" i="1" a="1"/>
  <c r="M485" i="1"/>
  <c r="C485" i="1"/>
  <c r="N484" i="1"/>
  <c r="N484" i="1" a="1"/>
  <c r="M484" i="1"/>
  <c r="C484" i="1"/>
  <c r="N483" i="1"/>
  <c r="N483" i="1" a="1"/>
  <c r="M483" i="1"/>
  <c r="C483" i="1"/>
  <c r="N482" i="1"/>
  <c r="N482" i="1" a="1"/>
  <c r="M482" i="1"/>
  <c r="C482" i="1"/>
  <c r="N481" i="1"/>
  <c r="N481" i="1" a="1"/>
  <c r="M481" i="1"/>
  <c r="C481" i="1"/>
  <c r="N480" i="1"/>
  <c r="N480" i="1" a="1"/>
  <c r="M480" i="1"/>
  <c r="C480" i="1"/>
  <c r="N479" i="1"/>
  <c r="N479" i="1" a="1"/>
  <c r="M479" i="1"/>
  <c r="C479" i="1"/>
  <c r="N478" i="1"/>
  <c r="N478" i="1" a="1"/>
  <c r="M478" i="1"/>
  <c r="C478" i="1"/>
  <c r="N477" i="1"/>
  <c r="N477" i="1" a="1"/>
  <c r="M477" i="1"/>
  <c r="C477" i="1"/>
  <c r="N476" i="1"/>
  <c r="N476" i="1" a="1"/>
  <c r="M476" i="1"/>
  <c r="C476" i="1"/>
  <c r="N475" i="1"/>
  <c r="N475" i="1" a="1"/>
  <c r="M475" i="1"/>
  <c r="C475" i="1"/>
  <c r="N474" i="1"/>
  <c r="N474" i="1" a="1"/>
  <c r="M474" i="1"/>
  <c r="C474" i="1"/>
  <c r="N473" i="1"/>
  <c r="N473" i="1" a="1"/>
  <c r="M473" i="1"/>
  <c r="C473" i="1"/>
  <c r="N472" i="1"/>
  <c r="N472" i="1" a="1"/>
  <c r="M472" i="1"/>
  <c r="C472" i="1"/>
  <c r="N471" i="1"/>
  <c r="N471" i="1" a="1"/>
  <c r="M471" i="1"/>
  <c r="C471" i="1"/>
  <c r="N470" i="1"/>
  <c r="N470" i="1" a="1"/>
  <c r="M470" i="1"/>
  <c r="C470" i="1"/>
  <c r="N469" i="1"/>
  <c r="N469" i="1" a="1"/>
  <c r="M469" i="1"/>
  <c r="C469" i="1"/>
  <c r="N468" i="1"/>
  <c r="N468" i="1" a="1"/>
  <c r="M468" i="1"/>
  <c r="C468" i="1"/>
  <c r="N467" i="1"/>
  <c r="N467" i="1" a="1"/>
  <c r="M467" i="1"/>
  <c r="C467" i="1"/>
  <c r="N466" i="1"/>
  <c r="N466" i="1" a="1"/>
  <c r="M466" i="1"/>
  <c r="C466" i="1"/>
  <c r="N465" i="1"/>
  <c r="N465" i="1" a="1"/>
  <c r="M465" i="1"/>
  <c r="C465" i="1"/>
  <c r="N464" i="1"/>
  <c r="N464" i="1" a="1"/>
  <c r="M464" i="1"/>
  <c r="C464" i="1"/>
  <c r="N463" i="1"/>
  <c r="N463" i="1" a="1"/>
  <c r="M463" i="1"/>
  <c r="C463" i="1"/>
  <c r="N462" i="1"/>
  <c r="N462" i="1" a="1"/>
  <c r="M462" i="1"/>
  <c r="C462" i="1"/>
  <c r="N461" i="1"/>
  <c r="N461" i="1" a="1"/>
  <c r="M461" i="1"/>
  <c r="C461" i="1"/>
  <c r="N460" i="1"/>
  <c r="N460" i="1" a="1"/>
  <c r="M460" i="1"/>
  <c r="C460" i="1"/>
  <c r="N459" i="1"/>
  <c r="N459" i="1" a="1"/>
  <c r="M459" i="1"/>
  <c r="C459" i="1"/>
  <c r="N458" i="1"/>
  <c r="N458" i="1" a="1"/>
  <c r="M458" i="1"/>
  <c r="C458" i="1"/>
  <c r="N457" i="1"/>
  <c r="N457" i="1" a="1"/>
  <c r="M457" i="1"/>
  <c r="C457" i="1"/>
  <c r="N456" i="1"/>
  <c r="N456" i="1" a="1"/>
  <c r="M456" i="1"/>
  <c r="C456" i="1"/>
  <c r="N455" i="1"/>
  <c r="N455" i="1" a="1"/>
  <c r="M455" i="1"/>
  <c r="C455" i="1"/>
  <c r="N454" i="1"/>
  <c r="N454" i="1" a="1"/>
  <c r="M454" i="1"/>
  <c r="C454" i="1"/>
  <c r="N453" i="1"/>
  <c r="N453" i="1" a="1"/>
  <c r="M453" i="1"/>
  <c r="C453" i="1"/>
  <c r="N452" i="1"/>
  <c r="N452" i="1" a="1"/>
  <c r="M452" i="1"/>
  <c r="C452" i="1"/>
  <c r="N451" i="1"/>
  <c r="N451" i="1" a="1"/>
  <c r="M451" i="1"/>
  <c r="C451" i="1"/>
  <c r="N450" i="1"/>
  <c r="N450" i="1" a="1"/>
  <c r="M450" i="1"/>
  <c r="C450" i="1"/>
  <c r="N449" i="1"/>
  <c r="N449" i="1" a="1"/>
  <c r="M449" i="1"/>
  <c r="C449" i="1"/>
  <c r="N448" i="1"/>
  <c r="N448" i="1" a="1"/>
  <c r="M448" i="1"/>
  <c r="C448" i="1"/>
  <c r="N447" i="1"/>
  <c r="N447" i="1" a="1"/>
  <c r="M447" i="1"/>
  <c r="C447" i="1"/>
  <c r="N446" i="1"/>
  <c r="N446" i="1" a="1"/>
  <c r="M446" i="1"/>
  <c r="C446" i="1"/>
  <c r="N445" i="1"/>
  <c r="N445" i="1" a="1"/>
  <c r="M445" i="1"/>
  <c r="C445" i="1"/>
  <c r="N444" i="1"/>
  <c r="N444" i="1" a="1"/>
  <c r="M444" i="1"/>
  <c r="C444" i="1"/>
  <c r="N443" i="1"/>
  <c r="N443" i="1" a="1"/>
  <c r="M443" i="1"/>
  <c r="C443" i="1"/>
  <c r="N442" i="1"/>
  <c r="N442" i="1" a="1"/>
  <c r="M442" i="1"/>
  <c r="C442" i="1"/>
  <c r="N441" i="1"/>
  <c r="N441" i="1" a="1"/>
  <c r="M441" i="1"/>
  <c r="C441" i="1"/>
  <c r="N440" i="1"/>
  <c r="N440" i="1" a="1"/>
  <c r="M440" i="1"/>
  <c r="C440" i="1"/>
  <c r="N439" i="1"/>
  <c r="N439" i="1" a="1"/>
  <c r="M439" i="1"/>
  <c r="C439" i="1"/>
  <c r="N438" i="1"/>
  <c r="N438" i="1" a="1"/>
  <c r="M438" i="1"/>
  <c r="C438" i="1"/>
  <c r="N437" i="1"/>
  <c r="N437" i="1" a="1"/>
  <c r="M437" i="1"/>
  <c r="C437" i="1"/>
  <c r="N436" i="1"/>
  <c r="N436" i="1" a="1"/>
  <c r="M436" i="1"/>
  <c r="C436" i="1"/>
  <c r="N435" i="1"/>
  <c r="N435" i="1" a="1"/>
  <c r="M435" i="1"/>
  <c r="C435" i="1"/>
  <c r="N434" i="1"/>
  <c r="N434" i="1" a="1"/>
  <c r="M434" i="1"/>
  <c r="C434" i="1"/>
  <c r="N433" i="1"/>
  <c r="N433" i="1" a="1"/>
  <c r="M433" i="1"/>
  <c r="C433" i="1"/>
  <c r="N432" i="1"/>
  <c r="N432" i="1" a="1"/>
  <c r="M432" i="1"/>
  <c r="C432" i="1"/>
  <c r="N431" i="1"/>
  <c r="N431" i="1" a="1"/>
  <c r="M431" i="1"/>
  <c r="C431" i="1"/>
  <c r="N430" i="1"/>
  <c r="N430" i="1" a="1"/>
  <c r="M430" i="1"/>
  <c r="C430" i="1"/>
  <c r="N429" i="1"/>
  <c r="N429" i="1" a="1"/>
  <c r="M429" i="1"/>
  <c r="C429" i="1"/>
  <c r="N428" i="1"/>
  <c r="N428" i="1" a="1"/>
  <c r="M428" i="1"/>
  <c r="C428" i="1"/>
  <c r="N427" i="1"/>
  <c r="N427" i="1" a="1"/>
  <c r="M427" i="1"/>
  <c r="C427" i="1"/>
  <c r="N426" i="1"/>
  <c r="N426" i="1" a="1"/>
  <c r="M426" i="1"/>
  <c r="C426" i="1"/>
  <c r="N425" i="1"/>
  <c r="N425" i="1" a="1"/>
  <c r="M425" i="1"/>
  <c r="C425" i="1"/>
  <c r="N424" i="1"/>
  <c r="N424" i="1" a="1"/>
  <c r="M424" i="1"/>
  <c r="C424" i="1"/>
  <c r="N423" i="1"/>
  <c r="N423" i="1" a="1"/>
  <c r="M423" i="1"/>
  <c r="C423" i="1"/>
  <c r="N422" i="1"/>
  <c r="N422" i="1" a="1"/>
  <c r="M422" i="1"/>
  <c r="C422" i="1"/>
  <c r="N421" i="1"/>
  <c r="N421" i="1" a="1"/>
  <c r="M421" i="1"/>
  <c r="C421" i="1"/>
  <c r="N420" i="1"/>
  <c r="N420" i="1" a="1"/>
  <c r="M420" i="1"/>
  <c r="C420" i="1"/>
  <c r="N419" i="1"/>
  <c r="N419" i="1" a="1"/>
  <c r="M419" i="1"/>
  <c r="C419" i="1"/>
  <c r="N418" i="1"/>
  <c r="N418" i="1" a="1"/>
  <c r="M418" i="1"/>
  <c r="C418" i="1"/>
  <c r="N417" i="1"/>
  <c r="N417" i="1" a="1"/>
  <c r="M417" i="1"/>
  <c r="C417" i="1"/>
  <c r="N416" i="1"/>
  <c r="N416" i="1" a="1"/>
  <c r="M416" i="1"/>
  <c r="C416" i="1"/>
  <c r="N415" i="1"/>
  <c r="N415" i="1" a="1"/>
  <c r="M415" i="1"/>
  <c r="C415" i="1"/>
  <c r="N414" i="1"/>
  <c r="N414" i="1" a="1"/>
  <c r="M414" i="1"/>
  <c r="C414" i="1"/>
  <c r="N413" i="1"/>
  <c r="N413" i="1" a="1"/>
  <c r="M413" i="1"/>
  <c r="C413" i="1"/>
  <c r="N412" i="1"/>
  <c r="N412" i="1" a="1"/>
  <c r="M412" i="1"/>
  <c r="C412" i="1"/>
  <c r="N411" i="1"/>
  <c r="N411" i="1" a="1"/>
  <c r="M411" i="1"/>
  <c r="C411" i="1"/>
  <c r="N410" i="1"/>
  <c r="N410" i="1" a="1"/>
  <c r="M410" i="1"/>
  <c r="C410" i="1"/>
  <c r="N409" i="1"/>
  <c r="N409" i="1" a="1"/>
  <c r="M409" i="1"/>
  <c r="C409" i="1"/>
  <c r="N408" i="1"/>
  <c r="N408" i="1" a="1"/>
  <c r="M408" i="1"/>
  <c r="C408" i="1"/>
  <c r="N407" i="1"/>
  <c r="N407" i="1" a="1"/>
  <c r="M407" i="1"/>
  <c r="C407" i="1"/>
  <c r="N406" i="1"/>
  <c r="N406" i="1" a="1"/>
  <c r="M406" i="1"/>
  <c r="C406" i="1"/>
  <c r="N405" i="1"/>
  <c r="N405" i="1" a="1"/>
  <c r="M405" i="1"/>
  <c r="C405" i="1"/>
  <c r="N404" i="1"/>
  <c r="N404" i="1" a="1"/>
  <c r="M404" i="1"/>
  <c r="C404" i="1"/>
  <c r="N403" i="1"/>
  <c r="N403" i="1" a="1"/>
  <c r="M403" i="1"/>
  <c r="C403" i="1"/>
  <c r="N402" i="1"/>
  <c r="N402" i="1" a="1"/>
  <c r="M402" i="1"/>
  <c r="C402" i="1"/>
  <c r="N401" i="1"/>
  <c r="N401" i="1" a="1"/>
  <c r="M401" i="1"/>
  <c r="C401" i="1"/>
  <c r="N400" i="1"/>
  <c r="N400" i="1" a="1"/>
  <c r="M400" i="1"/>
  <c r="C400" i="1"/>
  <c r="N399" i="1"/>
  <c r="N399" i="1" a="1"/>
  <c r="M399" i="1"/>
  <c r="C399" i="1"/>
  <c r="N398" i="1"/>
  <c r="N398" i="1" a="1"/>
  <c r="M398" i="1"/>
  <c r="C398" i="1"/>
  <c r="N397" i="1"/>
  <c r="N397" i="1" a="1"/>
  <c r="M397" i="1"/>
  <c r="C397" i="1"/>
  <c r="N396" i="1"/>
  <c r="N396" i="1" a="1"/>
  <c r="M396" i="1"/>
  <c r="C396" i="1"/>
  <c r="N395" i="1"/>
  <c r="N395" i="1" a="1"/>
  <c r="M395" i="1"/>
  <c r="C395" i="1"/>
  <c r="N394" i="1"/>
  <c r="N394" i="1" a="1"/>
  <c r="M394" i="1"/>
  <c r="C394" i="1"/>
  <c r="N393" i="1"/>
  <c r="N393" i="1" a="1"/>
  <c r="M393" i="1"/>
  <c r="C393" i="1"/>
  <c r="N392" i="1"/>
  <c r="N392" i="1" a="1"/>
  <c r="M392" i="1"/>
  <c r="C392" i="1"/>
  <c r="N391" i="1"/>
  <c r="N391" i="1" a="1"/>
  <c r="M391" i="1"/>
  <c r="C391" i="1"/>
  <c r="N390" i="1"/>
  <c r="N390" i="1" a="1"/>
  <c r="M390" i="1"/>
  <c r="C390" i="1"/>
  <c r="N389" i="1"/>
  <c r="N389" i="1" a="1"/>
  <c r="M389" i="1"/>
  <c r="C389" i="1"/>
  <c r="N388" i="1"/>
  <c r="N388" i="1" a="1"/>
  <c r="M388" i="1"/>
  <c r="C388" i="1"/>
  <c r="N387" i="1"/>
  <c r="N387" i="1" a="1"/>
  <c r="M387" i="1"/>
  <c r="C387" i="1"/>
  <c r="N386" i="1"/>
  <c r="N386" i="1" a="1"/>
  <c r="M386" i="1"/>
  <c r="C386" i="1"/>
  <c r="N385" i="1"/>
  <c r="N385" i="1" a="1"/>
  <c r="M385" i="1"/>
  <c r="C385" i="1"/>
  <c r="N384" i="1"/>
  <c r="N384" i="1" a="1"/>
  <c r="M384" i="1"/>
  <c r="C384" i="1"/>
  <c r="N383" i="1"/>
  <c r="N383" i="1" a="1"/>
  <c r="M383" i="1"/>
  <c r="C383" i="1"/>
  <c r="N382" i="1"/>
  <c r="N382" i="1" a="1"/>
  <c r="M382" i="1"/>
  <c r="C382" i="1"/>
  <c r="N381" i="1"/>
  <c r="N381" i="1" a="1"/>
  <c r="M381" i="1"/>
  <c r="C381" i="1"/>
  <c r="N380" i="1"/>
  <c r="N380" i="1" a="1"/>
  <c r="M380" i="1"/>
  <c r="C380" i="1"/>
  <c r="N379" i="1"/>
  <c r="N379" i="1" a="1"/>
  <c r="M379" i="1"/>
  <c r="C379" i="1"/>
  <c r="N378" i="1"/>
  <c r="N378" i="1" a="1"/>
  <c r="M378" i="1"/>
  <c r="C378" i="1"/>
  <c r="N377" i="1"/>
  <c r="N377" i="1" a="1"/>
  <c r="M377" i="1"/>
  <c r="C377" i="1"/>
  <c r="N376" i="1"/>
  <c r="N376" i="1" a="1"/>
  <c r="M376" i="1"/>
  <c r="C376" i="1"/>
  <c r="N375" i="1"/>
  <c r="N375" i="1" a="1"/>
  <c r="M375" i="1"/>
  <c r="C375" i="1"/>
  <c r="N374" i="1"/>
  <c r="N374" i="1" a="1"/>
  <c r="M374" i="1"/>
  <c r="C374" i="1"/>
  <c r="N373" i="1"/>
  <c r="N373" i="1" a="1"/>
  <c r="M373" i="1"/>
  <c r="C373" i="1"/>
  <c r="N372" i="1"/>
  <c r="N372" i="1" a="1"/>
  <c r="M372" i="1"/>
  <c r="C372" i="1"/>
  <c r="N371" i="1"/>
  <c r="N371" i="1" a="1"/>
  <c r="M371" i="1"/>
  <c r="C371" i="1"/>
  <c r="N370" i="1"/>
  <c r="N370" i="1" a="1"/>
  <c r="M370" i="1"/>
  <c r="C370" i="1"/>
  <c r="N369" i="1"/>
  <c r="N369" i="1" a="1"/>
  <c r="M369" i="1"/>
  <c r="C369" i="1"/>
  <c r="N368" i="1"/>
  <c r="N368" i="1" a="1"/>
  <c r="M368" i="1"/>
  <c r="C368" i="1"/>
  <c r="N367" i="1"/>
  <c r="N367" i="1" a="1"/>
  <c r="M367" i="1"/>
  <c r="C367" i="1"/>
  <c r="N366" i="1"/>
  <c r="N366" i="1" a="1"/>
  <c r="M366" i="1"/>
  <c r="C366" i="1"/>
  <c r="N365" i="1"/>
  <c r="N365" i="1" a="1"/>
  <c r="M365" i="1"/>
  <c r="C365" i="1"/>
  <c r="N364" i="1"/>
  <c r="N364" i="1" a="1"/>
  <c r="M364" i="1"/>
  <c r="C364" i="1"/>
  <c r="N363" i="1"/>
  <c r="N363" i="1" a="1"/>
  <c r="M363" i="1"/>
  <c r="C363" i="1"/>
  <c r="N362" i="1"/>
  <c r="N362" i="1" a="1"/>
  <c r="M362" i="1"/>
  <c r="C362" i="1"/>
  <c r="N361" i="1"/>
  <c r="N361" i="1" a="1"/>
  <c r="M361" i="1"/>
  <c r="C361" i="1"/>
  <c r="N360" i="1"/>
  <c r="N360" i="1" a="1"/>
  <c r="M360" i="1"/>
  <c r="C360" i="1"/>
  <c r="N359" i="1"/>
  <c r="N359" i="1" a="1"/>
  <c r="M359" i="1"/>
  <c r="C359" i="1"/>
  <c r="N358" i="1"/>
  <c r="N358" i="1" a="1"/>
  <c r="M358" i="1"/>
  <c r="C358" i="1"/>
  <c r="N357" i="1"/>
  <c r="N357" i="1" a="1"/>
  <c r="M357" i="1"/>
  <c r="C357" i="1"/>
  <c r="N356" i="1"/>
  <c r="N356" i="1" a="1"/>
  <c r="M356" i="1"/>
  <c r="C356" i="1"/>
  <c r="N355" i="1"/>
  <c r="N355" i="1" a="1"/>
  <c r="M355" i="1"/>
  <c r="C355" i="1"/>
  <c r="N354" i="1"/>
  <c r="N354" i="1" a="1"/>
  <c r="M354" i="1"/>
  <c r="C354" i="1"/>
  <c r="N353" i="1"/>
  <c r="N353" i="1" a="1"/>
  <c r="M353" i="1"/>
  <c r="C353" i="1"/>
  <c r="N352" i="1"/>
  <c r="N352" i="1" a="1"/>
  <c r="M352" i="1"/>
  <c r="C352" i="1"/>
  <c r="N351" i="1"/>
  <c r="N351" i="1" a="1"/>
  <c r="M351" i="1"/>
  <c r="C351" i="1"/>
  <c r="N350" i="1"/>
  <c r="N350" i="1" a="1"/>
  <c r="M350" i="1"/>
  <c r="C350" i="1"/>
  <c r="N349" i="1"/>
  <c r="N349" i="1" a="1"/>
  <c r="M349" i="1"/>
  <c r="C349" i="1"/>
  <c r="N348" i="1"/>
  <c r="N348" i="1" a="1"/>
  <c r="M348" i="1"/>
  <c r="C348" i="1"/>
  <c r="N347" i="1"/>
  <c r="N347" i="1" a="1"/>
  <c r="M347" i="1"/>
  <c r="C347" i="1"/>
  <c r="N346" i="1"/>
  <c r="N346" i="1" a="1"/>
  <c r="M346" i="1"/>
  <c r="C346" i="1"/>
  <c r="N345" i="1"/>
  <c r="N345" i="1" a="1"/>
  <c r="M345" i="1"/>
  <c r="C345" i="1"/>
  <c r="N344" i="1"/>
  <c r="N344" i="1" a="1"/>
  <c r="M344" i="1"/>
  <c r="C344" i="1"/>
  <c r="N343" i="1"/>
  <c r="N343" i="1" a="1"/>
  <c r="M343" i="1"/>
  <c r="C343" i="1"/>
  <c r="N342" i="1"/>
  <c r="N342" i="1" a="1"/>
  <c r="M342" i="1"/>
  <c r="C342" i="1"/>
  <c r="N341" i="1"/>
  <c r="N341" i="1" a="1"/>
  <c r="M341" i="1"/>
  <c r="C341" i="1"/>
  <c r="N340" i="1"/>
  <c r="N340" i="1" a="1"/>
  <c r="M340" i="1"/>
  <c r="C340" i="1"/>
  <c r="N339" i="1"/>
  <c r="N339" i="1" a="1"/>
  <c r="M339" i="1"/>
  <c r="C339" i="1"/>
  <c r="N338" i="1"/>
  <c r="N338" i="1" a="1"/>
  <c r="M338" i="1"/>
  <c r="C338" i="1"/>
  <c r="N337" i="1"/>
  <c r="N337" i="1" a="1"/>
  <c r="M337" i="1"/>
  <c r="C337" i="1"/>
  <c r="N336" i="1"/>
  <c r="N336" i="1" a="1"/>
  <c r="M336" i="1"/>
  <c r="C336" i="1"/>
  <c r="N335" i="1"/>
  <c r="N335" i="1" a="1"/>
  <c r="M335" i="1"/>
  <c r="C335" i="1"/>
  <c r="N334" i="1"/>
  <c r="N334" i="1" a="1"/>
  <c r="M334" i="1"/>
  <c r="C334" i="1"/>
  <c r="N333" i="1"/>
  <c r="N333" i="1" a="1"/>
  <c r="M333" i="1"/>
  <c r="C333" i="1"/>
  <c r="N332" i="1"/>
  <c r="N332" i="1" a="1"/>
  <c r="M332" i="1"/>
  <c r="C332" i="1"/>
  <c r="N331" i="1"/>
  <c r="N331" i="1" a="1"/>
  <c r="M331" i="1"/>
  <c r="C331" i="1"/>
  <c r="N330" i="1"/>
  <c r="N330" i="1" a="1"/>
  <c r="M330" i="1"/>
  <c r="C330" i="1"/>
  <c r="N329" i="1"/>
  <c r="N329" i="1" a="1"/>
  <c r="M329" i="1"/>
  <c r="C329" i="1"/>
  <c r="N328" i="1"/>
  <c r="N328" i="1" a="1"/>
  <c r="M328" i="1"/>
  <c r="C328" i="1"/>
  <c r="N327" i="1"/>
  <c r="N327" i="1" a="1"/>
  <c r="M327" i="1"/>
  <c r="C327" i="1"/>
  <c r="N326" i="1"/>
  <c r="N326" i="1" a="1"/>
  <c r="M326" i="1"/>
  <c r="C326" i="1"/>
  <c r="N325" i="1"/>
  <c r="N325" i="1" a="1"/>
  <c r="M325" i="1"/>
  <c r="C325" i="1"/>
  <c r="N324" i="1"/>
  <c r="N324" i="1" a="1"/>
  <c r="M324" i="1"/>
  <c r="C324" i="1"/>
  <c r="N323" i="1"/>
  <c r="N323" i="1" a="1"/>
  <c r="M323" i="1"/>
  <c r="C323" i="1"/>
  <c r="N322" i="1"/>
  <c r="N322" i="1" a="1"/>
  <c r="M322" i="1"/>
  <c r="C322" i="1"/>
  <c r="N321" i="1"/>
  <c r="N321" i="1" a="1"/>
  <c r="M321" i="1"/>
  <c r="C321" i="1"/>
  <c r="N320" i="1"/>
  <c r="N320" i="1" a="1"/>
  <c r="M320" i="1"/>
  <c r="C320" i="1"/>
  <c r="N319" i="1"/>
  <c r="N319" i="1" a="1"/>
  <c r="M319" i="1"/>
  <c r="C319" i="1"/>
  <c r="N318" i="1"/>
  <c r="N318" i="1" a="1"/>
  <c r="M318" i="1"/>
  <c r="C318" i="1"/>
  <c r="N317" i="1"/>
  <c r="N317" i="1" a="1"/>
  <c r="M317" i="1"/>
  <c r="C317" i="1"/>
  <c r="N316" i="1"/>
  <c r="N316" i="1" a="1"/>
  <c r="M316" i="1"/>
  <c r="C316" i="1"/>
  <c r="N315" i="1"/>
  <c r="N315" i="1" a="1"/>
  <c r="M315" i="1"/>
  <c r="C315" i="1"/>
  <c r="N314" i="1"/>
  <c r="N314" i="1" a="1"/>
  <c r="M314" i="1"/>
  <c r="C314" i="1"/>
  <c r="N313" i="1"/>
  <c r="N313" i="1" a="1"/>
  <c r="M313" i="1"/>
  <c r="C313" i="1"/>
  <c r="N312" i="1"/>
  <c r="N312" i="1" a="1"/>
  <c r="M312" i="1"/>
  <c r="C312" i="1"/>
  <c r="N311" i="1"/>
  <c r="N311" i="1" a="1"/>
  <c r="M311" i="1"/>
  <c r="C311" i="1"/>
  <c r="N310" i="1"/>
  <c r="N310" i="1" a="1"/>
  <c r="M310" i="1"/>
  <c r="C310" i="1"/>
  <c r="N309" i="1"/>
  <c r="N309" i="1" a="1"/>
  <c r="M309" i="1"/>
  <c r="C309" i="1"/>
  <c r="N308" i="1"/>
  <c r="N308" i="1" a="1"/>
  <c r="M308" i="1"/>
  <c r="C308" i="1"/>
  <c r="N307" i="1"/>
  <c r="N307" i="1" a="1"/>
  <c r="M307" i="1"/>
  <c r="C307" i="1"/>
  <c r="N306" i="1"/>
  <c r="N306" i="1" a="1"/>
  <c r="M306" i="1"/>
  <c r="C306" i="1"/>
  <c r="N305" i="1"/>
  <c r="N305" i="1" a="1"/>
  <c r="M305" i="1"/>
  <c r="C305" i="1"/>
  <c r="N304" i="1"/>
  <c r="N304" i="1" a="1"/>
  <c r="M304" i="1"/>
  <c r="C304" i="1"/>
  <c r="N303" i="1"/>
  <c r="N303" i="1" a="1"/>
  <c r="M303" i="1"/>
  <c r="C303" i="1"/>
  <c r="N302" i="1"/>
  <c r="N302" i="1" a="1"/>
  <c r="M302" i="1"/>
  <c r="C302" i="1"/>
  <c r="N301" i="1"/>
  <c r="N301" i="1" a="1"/>
  <c r="M301" i="1"/>
  <c r="C301" i="1"/>
  <c r="N300" i="1"/>
  <c r="N300" i="1" a="1"/>
  <c r="M300" i="1"/>
  <c r="C300" i="1"/>
  <c r="N299" i="1"/>
  <c r="N299" i="1" a="1"/>
  <c r="M299" i="1"/>
  <c r="C299" i="1"/>
  <c r="N298" i="1"/>
  <c r="N298" i="1" a="1"/>
  <c r="M298" i="1"/>
  <c r="C298" i="1"/>
  <c r="N297" i="1"/>
  <c r="N297" i="1" a="1"/>
  <c r="M297" i="1"/>
  <c r="C297" i="1"/>
  <c r="N296" i="1"/>
  <c r="N296" i="1" a="1"/>
  <c r="M296" i="1"/>
  <c r="C296" i="1"/>
  <c r="N295" i="1"/>
  <c r="N295" i="1" a="1"/>
  <c r="M295" i="1"/>
  <c r="C295" i="1"/>
  <c r="N294" i="1"/>
  <c r="N294" i="1" a="1"/>
  <c r="M294" i="1"/>
  <c r="C294" i="1"/>
  <c r="N293" i="1"/>
  <c r="N293" i="1" a="1"/>
  <c r="M293" i="1"/>
  <c r="C293" i="1"/>
  <c r="N292" i="1"/>
  <c r="N292" i="1" a="1"/>
  <c r="M292" i="1"/>
  <c r="C292" i="1"/>
  <c r="N291" i="1"/>
  <c r="N291" i="1" a="1"/>
  <c r="M291" i="1"/>
  <c r="C291" i="1"/>
  <c r="N290" i="1"/>
  <c r="N290" i="1" a="1"/>
  <c r="M290" i="1"/>
  <c r="C290" i="1"/>
  <c r="N289" i="1"/>
  <c r="N289" i="1" a="1"/>
  <c r="M289" i="1"/>
  <c r="C289" i="1"/>
  <c r="N288" i="1"/>
  <c r="N288" i="1" a="1"/>
  <c r="M288" i="1"/>
  <c r="C288" i="1"/>
  <c r="N287" i="1"/>
  <c r="N287" i="1" a="1"/>
  <c r="M287" i="1"/>
  <c r="C287" i="1"/>
  <c r="N286" i="1"/>
  <c r="N286" i="1" a="1"/>
  <c r="M286" i="1"/>
  <c r="C286" i="1"/>
  <c r="N285" i="1"/>
  <c r="N285" i="1" a="1"/>
  <c r="M285" i="1"/>
  <c r="C285" i="1"/>
  <c r="N284" i="1"/>
  <c r="N284" i="1" a="1"/>
  <c r="M284" i="1"/>
  <c r="C284" i="1"/>
  <c r="N283" i="1"/>
  <c r="N283" i="1" a="1"/>
  <c r="M283" i="1"/>
  <c r="C283" i="1"/>
  <c r="N282" i="1"/>
  <c r="N282" i="1" a="1"/>
  <c r="M282" i="1"/>
  <c r="C282" i="1"/>
  <c r="N281" i="1"/>
  <c r="N281" i="1" a="1"/>
  <c r="M281" i="1"/>
  <c r="C281" i="1"/>
  <c r="N280" i="1"/>
  <c r="N280" i="1" a="1"/>
  <c r="M280" i="1"/>
  <c r="C280" i="1"/>
  <c r="N279" i="1"/>
  <c r="N279" i="1" a="1"/>
  <c r="M279" i="1"/>
  <c r="C279" i="1"/>
  <c r="N278" i="1"/>
  <c r="N278" i="1" a="1"/>
  <c r="M278" i="1"/>
  <c r="C278" i="1"/>
  <c r="N277" i="1"/>
  <c r="N277" i="1" a="1"/>
  <c r="M277" i="1"/>
  <c r="C277" i="1"/>
  <c r="N276" i="1"/>
  <c r="N276" i="1" a="1"/>
  <c r="M276" i="1"/>
  <c r="C276" i="1"/>
  <c r="N275" i="1"/>
  <c r="N275" i="1" a="1"/>
  <c r="M275" i="1"/>
  <c r="C275" i="1"/>
  <c r="N274" i="1"/>
  <c r="N274" i="1" a="1"/>
  <c r="M274" i="1"/>
  <c r="C274" i="1"/>
  <c r="N273" i="1"/>
  <c r="N273" i="1" a="1"/>
  <c r="M273" i="1"/>
  <c r="C273" i="1"/>
  <c r="N272" i="1"/>
  <c r="N272" i="1" a="1"/>
  <c r="M272" i="1"/>
  <c r="C272" i="1"/>
  <c r="N271" i="1"/>
  <c r="N271" i="1" a="1"/>
  <c r="M271" i="1"/>
  <c r="C271" i="1"/>
  <c r="N270" i="1"/>
  <c r="N270" i="1" a="1"/>
  <c r="M270" i="1"/>
  <c r="C270" i="1"/>
  <c r="N269" i="1"/>
  <c r="N269" i="1" a="1"/>
  <c r="M269" i="1"/>
  <c r="C269" i="1"/>
  <c r="N268" i="1"/>
  <c r="N268" i="1" a="1"/>
  <c r="M268" i="1"/>
  <c r="C268" i="1"/>
  <c r="N267" i="1"/>
  <c r="N267" i="1" a="1"/>
  <c r="M267" i="1"/>
  <c r="C267" i="1"/>
  <c r="N266" i="1"/>
  <c r="N266" i="1" a="1"/>
  <c r="M266" i="1"/>
  <c r="C266" i="1"/>
  <c r="N265" i="1"/>
  <c r="N265" i="1" a="1"/>
  <c r="M265" i="1"/>
  <c r="C265" i="1"/>
  <c r="N264" i="1"/>
  <c r="N264" i="1" a="1"/>
  <c r="M264" i="1"/>
  <c r="C264" i="1"/>
  <c r="N263" i="1"/>
  <c r="N263" i="1" a="1"/>
  <c r="M263" i="1"/>
  <c r="C263" i="1"/>
  <c r="N262" i="1"/>
  <c r="N262" i="1" a="1"/>
  <c r="M262" i="1"/>
  <c r="C262" i="1"/>
  <c r="N261" i="1"/>
  <c r="N261" i="1" a="1"/>
  <c r="M261" i="1"/>
  <c r="C261" i="1"/>
  <c r="N260" i="1"/>
  <c r="N260" i="1" a="1"/>
  <c r="M260" i="1"/>
  <c r="C260" i="1"/>
  <c r="N259" i="1"/>
  <c r="N259" i="1" a="1"/>
  <c r="M259" i="1"/>
  <c r="C259" i="1"/>
  <c r="N258" i="1"/>
  <c r="N258" i="1" a="1"/>
  <c r="M258" i="1"/>
  <c r="C258" i="1"/>
  <c r="N257" i="1"/>
  <c r="N257" i="1" a="1"/>
  <c r="M257" i="1"/>
  <c r="C257" i="1"/>
  <c r="N256" i="1"/>
  <c r="N256" i="1" a="1"/>
  <c r="M256" i="1"/>
  <c r="C256" i="1"/>
  <c r="N255" i="1"/>
  <c r="N255" i="1" a="1"/>
  <c r="M255" i="1"/>
  <c r="C255" i="1"/>
  <c r="N254" i="1"/>
  <c r="N254" i="1" a="1"/>
  <c r="M254" i="1"/>
  <c r="C254" i="1"/>
  <c r="N253" i="1"/>
  <c r="N253" i="1" a="1"/>
  <c r="M253" i="1"/>
  <c r="C253" i="1"/>
  <c r="N252" i="1"/>
  <c r="N252" i="1" a="1"/>
  <c r="M252" i="1"/>
  <c r="C252" i="1"/>
  <c r="N251" i="1"/>
  <c r="N251" i="1" a="1"/>
  <c r="M251" i="1"/>
  <c r="C251" i="1"/>
  <c r="N250" i="1"/>
  <c r="N250" i="1" a="1"/>
  <c r="M250" i="1"/>
  <c r="C250" i="1"/>
  <c r="N249" i="1"/>
  <c r="N249" i="1" a="1"/>
  <c r="M249" i="1"/>
  <c r="C249" i="1"/>
  <c r="N248" i="1"/>
  <c r="N248" i="1" a="1"/>
  <c r="M248" i="1"/>
  <c r="C248" i="1"/>
  <c r="N247" i="1"/>
  <c r="N247" i="1" a="1"/>
  <c r="M247" i="1"/>
  <c r="C247" i="1"/>
  <c r="N246" i="1"/>
  <c r="N246" i="1" a="1"/>
  <c r="M246" i="1"/>
  <c r="C246" i="1"/>
  <c r="N245" i="1"/>
  <c r="N245" i="1" a="1"/>
  <c r="M245" i="1"/>
  <c r="C245" i="1"/>
  <c r="N244" i="1"/>
  <c r="N244" i="1" a="1"/>
  <c r="M244" i="1"/>
  <c r="C244" i="1"/>
  <c r="N243" i="1"/>
  <c r="N243" i="1" a="1"/>
  <c r="M243" i="1"/>
  <c r="C243" i="1"/>
  <c r="N242" i="1"/>
  <c r="N242" i="1" a="1"/>
  <c r="M242" i="1"/>
  <c r="C242" i="1"/>
  <c r="N241" i="1"/>
  <c r="N241" i="1" a="1"/>
  <c r="M241" i="1"/>
  <c r="C241" i="1"/>
  <c r="N240" i="1"/>
  <c r="N240" i="1" a="1"/>
  <c r="M240" i="1"/>
  <c r="C240" i="1"/>
  <c r="N239" i="1"/>
  <c r="N239" i="1" a="1"/>
  <c r="M239" i="1"/>
  <c r="C239" i="1"/>
  <c r="N238" i="1"/>
  <c r="N238" i="1" a="1"/>
  <c r="M238" i="1"/>
  <c r="C238" i="1"/>
  <c r="N237" i="1"/>
  <c r="N237" i="1" a="1"/>
  <c r="M237" i="1"/>
  <c r="C237" i="1"/>
  <c r="N236" i="1"/>
  <c r="N236" i="1" a="1"/>
  <c r="M236" i="1"/>
  <c r="C236" i="1"/>
  <c r="N235" i="1"/>
  <c r="N235" i="1" a="1"/>
  <c r="M235" i="1"/>
  <c r="C235" i="1"/>
  <c r="N234" i="1"/>
  <c r="N234" i="1" a="1"/>
  <c r="M234" i="1"/>
  <c r="C234" i="1"/>
  <c r="N233" i="1"/>
  <c r="N233" i="1" a="1"/>
  <c r="M233" i="1"/>
  <c r="C233" i="1"/>
  <c r="N232" i="1"/>
  <c r="N232" i="1" a="1"/>
  <c r="M232" i="1"/>
  <c r="C232" i="1"/>
  <c r="N231" i="1"/>
  <c r="N231" i="1" a="1"/>
  <c r="M231" i="1"/>
  <c r="C231" i="1"/>
  <c r="N230" i="1"/>
  <c r="N230" i="1" a="1"/>
  <c r="M230" i="1"/>
  <c r="C230" i="1"/>
  <c r="N229" i="1"/>
  <c r="N229" i="1" a="1"/>
  <c r="M229" i="1"/>
  <c r="C229" i="1"/>
  <c r="N228" i="1"/>
  <c r="N228" i="1" a="1"/>
  <c r="M228" i="1"/>
  <c r="C228" i="1"/>
  <c r="N227" i="1"/>
  <c r="N227" i="1" a="1"/>
  <c r="M227" i="1"/>
  <c r="C227" i="1"/>
  <c r="N226" i="1"/>
  <c r="N226" i="1" a="1"/>
  <c r="M226" i="1"/>
  <c r="C226" i="1"/>
  <c r="N225" i="1"/>
  <c r="N225" i="1" a="1"/>
  <c r="M225" i="1"/>
  <c r="C225" i="1"/>
  <c r="N224" i="1"/>
  <c r="N224" i="1" a="1"/>
  <c r="M224" i="1"/>
  <c r="C224" i="1"/>
  <c r="N223" i="1"/>
  <c r="N223" i="1" a="1"/>
  <c r="M223" i="1"/>
  <c r="C223" i="1"/>
  <c r="N222" i="1"/>
  <c r="N222" i="1" a="1"/>
  <c r="M222" i="1"/>
  <c r="C222" i="1"/>
  <c r="N221" i="1"/>
  <c r="N221" i="1" a="1"/>
  <c r="M221" i="1"/>
  <c r="C221" i="1"/>
  <c r="N220" i="1"/>
  <c r="N220" i="1" a="1"/>
  <c r="M220" i="1"/>
  <c r="C220" i="1"/>
  <c r="N219" i="1"/>
  <c r="N219" i="1" a="1"/>
  <c r="M219" i="1"/>
  <c r="C219" i="1"/>
  <c r="N218" i="1"/>
  <c r="N218" i="1" a="1"/>
  <c r="M218" i="1"/>
  <c r="C218" i="1"/>
  <c r="N217" i="1"/>
  <c r="N217" i="1" a="1"/>
  <c r="M217" i="1"/>
  <c r="C217" i="1"/>
  <c r="N216" i="1"/>
  <c r="N216" i="1" a="1"/>
  <c r="M216" i="1"/>
  <c r="C216" i="1"/>
  <c r="N215" i="1"/>
  <c r="N215" i="1" a="1"/>
  <c r="M215" i="1"/>
  <c r="C215" i="1"/>
  <c r="N214" i="1"/>
  <c r="N214" i="1" a="1"/>
  <c r="M214" i="1"/>
  <c r="C214" i="1"/>
  <c r="N213" i="1"/>
  <c r="N213" i="1" a="1"/>
  <c r="M213" i="1"/>
  <c r="C213" i="1"/>
  <c r="N212" i="1"/>
  <c r="N212" i="1" a="1"/>
  <c r="M212" i="1"/>
  <c r="C212" i="1"/>
  <c r="N211" i="1"/>
  <c r="N211" i="1" a="1"/>
  <c r="M211" i="1"/>
  <c r="C211" i="1"/>
  <c r="N210" i="1"/>
  <c r="N210" i="1" a="1"/>
  <c r="M210" i="1"/>
  <c r="C210" i="1"/>
  <c r="N209" i="1"/>
  <c r="N209" i="1" a="1"/>
  <c r="M209" i="1"/>
  <c r="C209" i="1"/>
  <c r="N208" i="1"/>
  <c r="N208" i="1" a="1"/>
  <c r="M208" i="1"/>
  <c r="C208" i="1"/>
  <c r="N207" i="1"/>
  <c r="N207" i="1" a="1"/>
  <c r="M207" i="1"/>
  <c r="C207" i="1"/>
  <c r="N206" i="1"/>
  <c r="N206" i="1" a="1"/>
  <c r="M206" i="1"/>
  <c r="C206" i="1"/>
  <c r="N205" i="1"/>
  <c r="N205" i="1" a="1"/>
  <c r="M205" i="1"/>
  <c r="C205" i="1"/>
  <c r="N204" i="1"/>
  <c r="N204" i="1" a="1"/>
  <c r="M204" i="1"/>
  <c r="C204" i="1"/>
  <c r="N203" i="1"/>
  <c r="N203" i="1" a="1"/>
  <c r="M203" i="1"/>
  <c r="C203" i="1"/>
  <c r="N202" i="1"/>
  <c r="N202" i="1" a="1"/>
  <c r="M202" i="1"/>
  <c r="C202" i="1"/>
  <c r="N201" i="1"/>
  <c r="N201" i="1" a="1"/>
  <c r="M201" i="1"/>
  <c r="C201" i="1"/>
  <c r="N200" i="1"/>
  <c r="N200" i="1" a="1"/>
  <c r="M200" i="1"/>
  <c r="C200" i="1"/>
  <c r="N199" i="1"/>
  <c r="N199" i="1" a="1"/>
  <c r="M199" i="1"/>
  <c r="C199" i="1"/>
  <c r="N198" i="1"/>
  <c r="N198" i="1" a="1"/>
  <c r="M198" i="1"/>
  <c r="C198" i="1"/>
  <c r="N197" i="1"/>
  <c r="N197" i="1" a="1"/>
  <c r="M197" i="1"/>
  <c r="C197" i="1"/>
  <c r="N196" i="1"/>
  <c r="N196" i="1" a="1"/>
  <c r="M196" i="1"/>
  <c r="C196" i="1"/>
  <c r="N195" i="1"/>
  <c r="N195" i="1" a="1"/>
  <c r="M195" i="1"/>
  <c r="C195" i="1"/>
  <c r="N194" i="1"/>
  <c r="N194" i="1" a="1"/>
  <c r="M194" i="1"/>
  <c r="C194" i="1"/>
  <c r="N193" i="1"/>
  <c r="N193" i="1" a="1"/>
  <c r="M193" i="1"/>
  <c r="C193" i="1"/>
  <c r="N192" i="1"/>
  <c r="N192" i="1" a="1"/>
  <c r="M192" i="1"/>
  <c r="C192" i="1"/>
  <c r="N191" i="1"/>
  <c r="N191" i="1" a="1"/>
  <c r="M191" i="1"/>
  <c r="C191" i="1"/>
  <c r="N190" i="1"/>
  <c r="N190" i="1" a="1"/>
  <c r="M190" i="1"/>
  <c r="C190" i="1"/>
  <c r="N189" i="1"/>
  <c r="N189" i="1" a="1"/>
  <c r="M189" i="1"/>
  <c r="C189" i="1"/>
  <c r="N188" i="1"/>
  <c r="N188" i="1" a="1"/>
  <c r="M188" i="1"/>
  <c r="C188" i="1"/>
  <c r="N187" i="1"/>
  <c r="N187" i="1" a="1"/>
  <c r="M187" i="1"/>
  <c r="C187" i="1"/>
  <c r="N186" i="1"/>
  <c r="N186" i="1" a="1"/>
  <c r="M186" i="1"/>
  <c r="C186" i="1"/>
  <c r="N185" i="1"/>
  <c r="N185" i="1" a="1"/>
  <c r="M185" i="1"/>
  <c r="C185" i="1"/>
  <c r="N184" i="1"/>
  <c r="N184" i="1" a="1"/>
  <c r="M184" i="1"/>
  <c r="C184" i="1"/>
  <c r="N183" i="1"/>
  <c r="N183" i="1" a="1"/>
  <c r="M183" i="1"/>
  <c r="C183" i="1"/>
  <c r="N182" i="1"/>
  <c r="N182" i="1" a="1"/>
  <c r="M182" i="1"/>
  <c r="C182" i="1"/>
  <c r="N181" i="1"/>
  <c r="N181" i="1" a="1"/>
  <c r="M181" i="1"/>
  <c r="C181" i="1"/>
  <c r="N180" i="1"/>
  <c r="N180" i="1" a="1"/>
  <c r="M180" i="1"/>
  <c r="C180" i="1"/>
  <c r="N179" i="1"/>
  <c r="N179" i="1" a="1"/>
  <c r="M179" i="1"/>
  <c r="C179" i="1"/>
  <c r="N178" i="1"/>
  <c r="N178" i="1" a="1"/>
  <c r="M178" i="1"/>
  <c r="C178" i="1"/>
  <c r="N177" i="1"/>
  <c r="N177" i="1" a="1"/>
  <c r="M177" i="1"/>
  <c r="C177" i="1"/>
  <c r="N176" i="1"/>
  <c r="N176" i="1" a="1"/>
  <c r="M176" i="1"/>
  <c r="C176" i="1"/>
  <c r="N175" i="1"/>
  <c r="N175" i="1" a="1"/>
  <c r="M175" i="1"/>
  <c r="C175" i="1"/>
  <c r="N174" i="1"/>
  <c r="N174" i="1" a="1"/>
  <c r="M174" i="1"/>
  <c r="C174" i="1"/>
  <c r="N173" i="1"/>
  <c r="N173" i="1" a="1"/>
  <c r="M173" i="1"/>
  <c r="C173" i="1"/>
  <c r="N172" i="1"/>
  <c r="N172" i="1" a="1"/>
  <c r="M172" i="1"/>
  <c r="C172" i="1"/>
  <c r="N171" i="1"/>
  <c r="N171" i="1" a="1"/>
  <c r="M171" i="1"/>
  <c r="C171" i="1"/>
  <c r="N170" i="1"/>
  <c r="N170" i="1" a="1"/>
  <c r="M170" i="1"/>
  <c r="C170" i="1"/>
  <c r="N169" i="1"/>
  <c r="N169" i="1" a="1"/>
  <c r="M169" i="1"/>
  <c r="C169" i="1"/>
  <c r="N168" i="1"/>
  <c r="N168" i="1" a="1"/>
  <c r="M168" i="1"/>
  <c r="C168" i="1"/>
  <c r="N167" i="1"/>
  <c r="N167" i="1" a="1"/>
  <c r="M167" i="1"/>
  <c r="C167" i="1"/>
  <c r="N166" i="1"/>
  <c r="N166" i="1" a="1"/>
  <c r="M166" i="1"/>
  <c r="C166" i="1"/>
  <c r="N165" i="1"/>
  <c r="N165" i="1" a="1"/>
  <c r="M165" i="1"/>
  <c r="C165" i="1"/>
  <c r="N164" i="1"/>
  <c r="N164" i="1" a="1"/>
  <c r="M164" i="1"/>
  <c r="C164" i="1"/>
  <c r="N163" i="1"/>
  <c r="N163" i="1" a="1"/>
  <c r="M163" i="1"/>
  <c r="C163" i="1"/>
  <c r="N162" i="1"/>
  <c r="N162" i="1" a="1"/>
  <c r="M162" i="1"/>
  <c r="C162" i="1"/>
  <c r="N161" i="1"/>
  <c r="N161" i="1" a="1"/>
  <c r="M161" i="1"/>
  <c r="C161" i="1"/>
  <c r="N160" i="1"/>
  <c r="N160" i="1" a="1"/>
  <c r="M160" i="1"/>
  <c r="C160" i="1"/>
  <c r="N159" i="1"/>
  <c r="N159" i="1" a="1"/>
  <c r="M159" i="1"/>
  <c r="C159" i="1"/>
  <c r="N158" i="1"/>
  <c r="N158" i="1" a="1"/>
  <c r="M158" i="1"/>
  <c r="C158" i="1"/>
  <c r="N157" i="1"/>
  <c r="N157" i="1" a="1"/>
  <c r="M157" i="1"/>
  <c r="C157" i="1"/>
  <c r="N156" i="1"/>
  <c r="N156" i="1" a="1"/>
  <c r="M156" i="1"/>
  <c r="C156" i="1"/>
  <c r="N155" i="1"/>
  <c r="N155" i="1" a="1"/>
  <c r="M155" i="1"/>
  <c r="C155" i="1"/>
  <c r="N154" i="1"/>
  <c r="N154" i="1" a="1"/>
  <c r="M154" i="1"/>
  <c r="C154" i="1"/>
  <c r="N153" i="1"/>
  <c r="N153" i="1" a="1"/>
  <c r="M153" i="1"/>
  <c r="C153" i="1"/>
  <c r="N152" i="1"/>
  <c r="N152" i="1" a="1"/>
  <c r="M152" i="1"/>
  <c r="C152" i="1"/>
  <c r="N151" i="1"/>
  <c r="N151" i="1" a="1"/>
  <c r="M151" i="1"/>
  <c r="C151" i="1"/>
  <c r="N150" i="1"/>
  <c r="N150" i="1" a="1"/>
  <c r="M150" i="1"/>
  <c r="C150" i="1"/>
  <c r="N149" i="1"/>
  <c r="N149" i="1" a="1"/>
  <c r="M149" i="1"/>
  <c r="C149" i="1"/>
  <c r="N148" i="1"/>
  <c r="N148" i="1" a="1"/>
  <c r="M148" i="1"/>
  <c r="C148" i="1"/>
  <c r="N147" i="1"/>
  <c r="N147" i="1" a="1"/>
  <c r="M147" i="1"/>
  <c r="C147" i="1"/>
  <c r="N146" i="1"/>
  <c r="N146" i="1" a="1"/>
  <c r="M146" i="1"/>
  <c r="C146" i="1"/>
  <c r="N145" i="1"/>
  <c r="N145" i="1" a="1"/>
  <c r="M145" i="1"/>
  <c r="C145" i="1"/>
  <c r="N144" i="1"/>
  <c r="N144" i="1" a="1"/>
  <c r="M144" i="1"/>
  <c r="C144" i="1"/>
  <c r="N143" i="1"/>
  <c r="N143" i="1" a="1"/>
  <c r="M143" i="1"/>
  <c r="C143" i="1"/>
  <c r="N142" i="1"/>
  <c r="N142" i="1" a="1"/>
  <c r="M142" i="1"/>
  <c r="C142" i="1"/>
  <c r="N141" i="1"/>
  <c r="N141" i="1" a="1"/>
  <c r="M141" i="1"/>
  <c r="C141" i="1"/>
  <c r="N140" i="1"/>
  <c r="N140" i="1" a="1"/>
  <c r="M140" i="1"/>
  <c r="C140" i="1"/>
  <c r="N139" i="1"/>
  <c r="N139" i="1" a="1"/>
  <c r="M139" i="1"/>
  <c r="C139" i="1"/>
  <c r="N138" i="1"/>
  <c r="N138" i="1" a="1"/>
  <c r="M138" i="1"/>
  <c r="C138" i="1"/>
  <c r="N137" i="1"/>
  <c r="N137" i="1" a="1"/>
  <c r="M137" i="1"/>
  <c r="C137" i="1"/>
  <c r="N136" i="1"/>
  <c r="N136" i="1" a="1"/>
  <c r="M136" i="1"/>
  <c r="C136" i="1"/>
  <c r="N135" i="1"/>
  <c r="N135" i="1" a="1"/>
  <c r="M135" i="1"/>
  <c r="C135" i="1"/>
  <c r="N134" i="1"/>
  <c r="N134" i="1" a="1"/>
  <c r="M134" i="1"/>
  <c r="C134" i="1"/>
  <c r="N133" i="1"/>
  <c r="N133" i="1" a="1"/>
  <c r="M133" i="1"/>
  <c r="C133" i="1"/>
  <c r="N132" i="1"/>
  <c r="N132" i="1" a="1"/>
  <c r="M132" i="1"/>
  <c r="C132" i="1"/>
  <c r="N131" i="1"/>
  <c r="N131" i="1" a="1"/>
  <c r="M131" i="1"/>
  <c r="C131" i="1"/>
  <c r="N130" i="1"/>
  <c r="N130" i="1" a="1"/>
  <c r="M130" i="1"/>
  <c r="C130" i="1"/>
  <c r="N129" i="1"/>
  <c r="N129" i="1" a="1"/>
  <c r="M129" i="1"/>
  <c r="C129" i="1"/>
  <c r="N128" i="1"/>
  <c r="N128" i="1" a="1"/>
  <c r="M128" i="1"/>
  <c r="C128" i="1"/>
  <c r="N127" i="1"/>
  <c r="N127" i="1" a="1"/>
  <c r="M127" i="1"/>
  <c r="C127" i="1"/>
  <c r="N126" i="1"/>
  <c r="N126" i="1" a="1"/>
  <c r="M126" i="1"/>
  <c r="C126" i="1"/>
  <c r="N125" i="1"/>
  <c r="N125" i="1" a="1"/>
  <c r="M125" i="1"/>
  <c r="C125" i="1"/>
  <c r="N124" i="1"/>
  <c r="N124" i="1" a="1"/>
  <c r="M124" i="1"/>
  <c r="C124" i="1"/>
  <c r="N123" i="1"/>
  <c r="N123" i="1" a="1"/>
  <c r="M123" i="1"/>
  <c r="C123" i="1"/>
  <c r="N122" i="1"/>
  <c r="N122" i="1" a="1"/>
  <c r="M122" i="1"/>
  <c r="C122" i="1"/>
  <c r="N121" i="1"/>
  <c r="N121" i="1" a="1"/>
  <c r="M121" i="1"/>
  <c r="C121" i="1"/>
  <c r="N120" i="1"/>
  <c r="N120" i="1" a="1"/>
  <c r="M120" i="1"/>
  <c r="C120" i="1"/>
  <c r="N119" i="1"/>
  <c r="N119" i="1" a="1"/>
  <c r="M119" i="1"/>
  <c r="C119" i="1"/>
  <c r="N118" i="1"/>
  <c r="N118" i="1" a="1"/>
  <c r="M118" i="1"/>
  <c r="C118" i="1"/>
  <c r="N117" i="1"/>
  <c r="N117" i="1" a="1"/>
  <c r="M117" i="1"/>
  <c r="C117" i="1"/>
  <c r="N116" i="1"/>
  <c r="N116" i="1" a="1"/>
  <c r="M116" i="1"/>
  <c r="C116" i="1"/>
  <c r="N115" i="1"/>
  <c r="N115" i="1" a="1"/>
  <c r="M115" i="1"/>
  <c r="C115" i="1"/>
  <c r="N114" i="1"/>
  <c r="N114" i="1" a="1"/>
  <c r="M114" i="1"/>
  <c r="C114" i="1"/>
  <c r="N113" i="1"/>
  <c r="N113" i="1" a="1"/>
  <c r="M113" i="1"/>
  <c r="C113" i="1"/>
  <c r="N112" i="1"/>
  <c r="N112" i="1" a="1"/>
  <c r="M112" i="1"/>
  <c r="C112" i="1"/>
  <c r="N111" i="1"/>
  <c r="N111" i="1" a="1"/>
  <c r="M111" i="1"/>
  <c r="C111" i="1"/>
  <c r="N110" i="1"/>
  <c r="N110" i="1" a="1"/>
  <c r="M110" i="1"/>
  <c r="C110" i="1"/>
  <c r="N109" i="1"/>
  <c r="N109" i="1" a="1"/>
  <c r="M109" i="1"/>
  <c r="C109" i="1"/>
  <c r="N108" i="1"/>
  <c r="N108" i="1" a="1"/>
  <c r="M108" i="1"/>
  <c r="C108" i="1"/>
  <c r="N107" i="1"/>
  <c r="N107" i="1" a="1"/>
  <c r="M107" i="1"/>
  <c r="C107" i="1"/>
  <c r="N106" i="1"/>
  <c r="N106" i="1" a="1"/>
  <c r="M106" i="1"/>
  <c r="C106" i="1"/>
  <c r="N105" i="1"/>
  <c r="N105" i="1" a="1"/>
  <c r="M105" i="1"/>
  <c r="C105" i="1"/>
  <c r="N104" i="1"/>
  <c r="N104" i="1" a="1"/>
  <c r="M104" i="1"/>
  <c r="C104" i="1"/>
  <c r="N103" i="1"/>
  <c r="N103" i="1" a="1"/>
  <c r="M103" i="1"/>
  <c r="C103" i="1"/>
  <c r="N102" i="1"/>
  <c r="N102" i="1" a="1"/>
  <c r="M102" i="1"/>
  <c r="C102" i="1"/>
  <c r="N101" i="1"/>
  <c r="N101" i="1" a="1"/>
  <c r="M101" i="1"/>
  <c r="C101" i="1"/>
  <c r="N100" i="1"/>
  <c r="N100" i="1" a="1"/>
  <c r="M100" i="1"/>
  <c r="C100" i="1"/>
  <c r="N99" i="1"/>
  <c r="N99" i="1" a="1"/>
  <c r="M99" i="1"/>
  <c r="C99" i="1"/>
  <c r="N98" i="1"/>
  <c r="N98" i="1" a="1"/>
  <c r="M98" i="1"/>
  <c r="C98" i="1"/>
  <c r="N97" i="1"/>
  <c r="N97" i="1" a="1"/>
  <c r="M97" i="1"/>
  <c r="C97" i="1"/>
  <c r="N96" i="1"/>
  <c r="N96" i="1" a="1"/>
  <c r="M96" i="1"/>
  <c r="C96" i="1"/>
  <c r="N95" i="1"/>
  <c r="N95" i="1" a="1"/>
  <c r="M95" i="1"/>
  <c r="C95" i="1"/>
  <c r="N94" i="1"/>
  <c r="N94" i="1" a="1"/>
  <c r="M94" i="1"/>
  <c r="C94" i="1"/>
  <c r="N93" i="1"/>
  <c r="N93" i="1" a="1"/>
  <c r="M93" i="1"/>
  <c r="C93" i="1"/>
  <c r="N92" i="1"/>
  <c r="N92" i="1" a="1"/>
  <c r="M92" i="1"/>
  <c r="C92" i="1"/>
  <c r="N91" i="1"/>
  <c r="N91" i="1" a="1"/>
  <c r="M91" i="1"/>
  <c r="C91" i="1"/>
  <c r="N90" i="1"/>
  <c r="N90" i="1" a="1"/>
  <c r="M90" i="1"/>
  <c r="C90" i="1"/>
  <c r="N89" i="1"/>
  <c r="N89" i="1" a="1"/>
  <c r="M89" i="1"/>
  <c r="C89" i="1"/>
  <c r="N88" i="1"/>
  <c r="N88" i="1" a="1"/>
  <c r="M88" i="1"/>
  <c r="C88" i="1"/>
  <c r="N87" i="1"/>
  <c r="N87" i="1" a="1"/>
  <c r="M87" i="1"/>
  <c r="C87" i="1"/>
  <c r="N86" i="1"/>
  <c r="N86" i="1" a="1"/>
  <c r="M86" i="1"/>
  <c r="C86" i="1"/>
  <c r="N85" i="1"/>
  <c r="N85" i="1" a="1"/>
  <c r="M85" i="1"/>
  <c r="C85" i="1"/>
  <c r="N84" i="1"/>
  <c r="N84" i="1" a="1"/>
  <c r="M84" i="1"/>
  <c r="C84" i="1"/>
  <c r="N83" i="1"/>
  <c r="N83" i="1" a="1"/>
  <c r="M83" i="1"/>
  <c r="C83" i="1"/>
  <c r="N82" i="1"/>
  <c r="N82" i="1" a="1"/>
  <c r="M82" i="1"/>
  <c r="C82" i="1"/>
  <c r="N81" i="1"/>
  <c r="N81" i="1" a="1"/>
  <c r="M81" i="1"/>
  <c r="C81" i="1"/>
  <c r="N80" i="1"/>
  <c r="N80" i="1" a="1"/>
  <c r="M80" i="1"/>
  <c r="C80" i="1"/>
  <c r="N79" i="1"/>
  <c r="N79" i="1" a="1"/>
  <c r="M79" i="1"/>
  <c r="C79" i="1"/>
  <c r="N78" i="1"/>
  <c r="N78" i="1" a="1"/>
  <c r="M78" i="1"/>
  <c r="C78" i="1"/>
  <c r="N77" i="1"/>
  <c r="N77" i="1" a="1"/>
  <c r="M77" i="1"/>
  <c r="C77" i="1"/>
  <c r="N76" i="1"/>
  <c r="N76" i="1" a="1"/>
  <c r="M76" i="1"/>
  <c r="C76" i="1"/>
  <c r="N75" i="1"/>
  <c r="N75" i="1" a="1"/>
  <c r="M75" i="1"/>
  <c r="C75" i="1"/>
  <c r="N74" i="1"/>
  <c r="N74" i="1" a="1"/>
  <c r="M74" i="1"/>
  <c r="C74" i="1"/>
  <c r="N73" i="1"/>
  <c r="N73" i="1" a="1"/>
  <c r="M73" i="1"/>
  <c r="C73" i="1"/>
  <c r="N72" i="1"/>
  <c r="N72" i="1" a="1"/>
  <c r="M72" i="1"/>
  <c r="C72" i="1"/>
  <c r="N71" i="1"/>
  <c r="N71" i="1" a="1"/>
  <c r="M71" i="1"/>
  <c r="C71" i="1"/>
  <c r="N70" i="1"/>
  <c r="N70" i="1" a="1"/>
  <c r="M70" i="1"/>
  <c r="C70" i="1"/>
  <c r="N69" i="1"/>
  <c r="N69" i="1" a="1"/>
  <c r="M69" i="1"/>
  <c r="C69" i="1"/>
  <c r="N68" i="1"/>
  <c r="N68" i="1" a="1"/>
  <c r="M68" i="1"/>
  <c r="C68" i="1"/>
  <c r="N67" i="1"/>
  <c r="N67" i="1" a="1"/>
  <c r="M67" i="1"/>
  <c r="C67" i="1"/>
  <c r="N66" i="1"/>
  <c r="N66" i="1" a="1"/>
  <c r="M66" i="1"/>
  <c r="C66" i="1"/>
  <c r="N65" i="1"/>
  <c r="N65" i="1" a="1"/>
  <c r="M65" i="1"/>
  <c r="C65" i="1"/>
  <c r="N64" i="1"/>
  <c r="N64" i="1" a="1"/>
  <c r="M64" i="1"/>
  <c r="C64" i="1"/>
  <c r="N63" i="1"/>
  <c r="N63" i="1" a="1"/>
  <c r="M63" i="1"/>
  <c r="C63" i="1"/>
  <c r="N62" i="1"/>
  <c r="N62" i="1" a="1"/>
  <c r="M62" i="1"/>
  <c r="C62" i="1"/>
  <c r="N61" i="1"/>
  <c r="N61" i="1" a="1"/>
  <c r="M61" i="1"/>
  <c r="C61" i="1"/>
  <c r="N60" i="1"/>
  <c r="N60" i="1" a="1"/>
  <c r="M60" i="1"/>
  <c r="C60" i="1"/>
  <c r="N59" i="1"/>
  <c r="N59" i="1" a="1"/>
  <c r="M59" i="1"/>
  <c r="C59" i="1"/>
  <c r="N58" i="1"/>
  <c r="N58" i="1" a="1"/>
  <c r="M58" i="1"/>
  <c r="C58" i="1"/>
  <c r="N57" i="1"/>
  <c r="N57" i="1" a="1"/>
  <c r="M57" i="1"/>
  <c r="C57" i="1"/>
  <c r="N56" i="1"/>
  <c r="N56" i="1" a="1"/>
  <c r="M56" i="1"/>
  <c r="C56" i="1"/>
  <c r="N55" i="1"/>
  <c r="N55" i="1" a="1"/>
  <c r="M55" i="1"/>
  <c r="C55" i="1"/>
  <c r="N54" i="1"/>
  <c r="N54" i="1" a="1"/>
  <c r="M54" i="1"/>
  <c r="C54" i="1"/>
  <c r="N53" i="1"/>
  <c r="N53" i="1" a="1"/>
  <c r="M53" i="1"/>
  <c r="C53" i="1"/>
  <c r="N52" i="1"/>
  <c r="N52" i="1" a="1"/>
  <c r="M52" i="1"/>
  <c r="C52" i="1"/>
  <c r="N51" i="1"/>
  <c r="N51" i="1" a="1"/>
  <c r="M51" i="1"/>
  <c r="C51" i="1"/>
  <c r="N50" i="1"/>
  <c r="N50" i="1" a="1"/>
  <c r="M50" i="1"/>
  <c r="C50" i="1"/>
  <c r="N49" i="1"/>
  <c r="N49" i="1" a="1"/>
  <c r="M49" i="1"/>
  <c r="C49" i="1"/>
  <c r="N48" i="1"/>
  <c r="N48" i="1" a="1"/>
  <c r="M48" i="1"/>
  <c r="C48" i="1"/>
  <c r="N47" i="1"/>
  <c r="N47" i="1" a="1"/>
  <c r="M47" i="1"/>
  <c r="C47" i="1"/>
  <c r="N46" i="1"/>
  <c r="N46" i="1" a="1"/>
  <c r="M46" i="1"/>
  <c r="C46" i="1"/>
  <c r="N45" i="1"/>
  <c r="N45" i="1" a="1"/>
  <c r="M45" i="1"/>
  <c r="C45" i="1"/>
  <c r="N44" i="1"/>
  <c r="N44" i="1" a="1"/>
  <c r="M44" i="1"/>
  <c r="C44" i="1"/>
  <c r="N43" i="1"/>
  <c r="N43" i="1" a="1"/>
  <c r="M43" i="1"/>
  <c r="C43" i="1"/>
  <c r="N42" i="1"/>
  <c r="N42" i="1" a="1"/>
  <c r="M42" i="1"/>
  <c r="C42" i="1"/>
  <c r="N41" i="1"/>
  <c r="N41" i="1" a="1"/>
  <c r="M41" i="1"/>
  <c r="C41" i="1"/>
  <c r="N40" i="1"/>
  <c r="N40" i="1" a="1"/>
  <c r="M40" i="1"/>
  <c r="C40" i="1"/>
  <c r="N39" i="1"/>
  <c r="N39" i="1" a="1"/>
  <c r="M39" i="1"/>
  <c r="C39" i="1"/>
  <c r="N38" i="1"/>
  <c r="N38" i="1" a="1"/>
  <c r="M38" i="1"/>
  <c r="C38" i="1"/>
  <c r="N37" i="1"/>
  <c r="N37" i="1" a="1"/>
  <c r="M37" i="1"/>
  <c r="C37" i="1"/>
  <c r="N36" i="1"/>
  <c r="N36" i="1" a="1"/>
  <c r="M36" i="1"/>
  <c r="C36" i="1"/>
  <c r="N35" i="1"/>
  <c r="N35" i="1" a="1"/>
  <c r="M35" i="1"/>
  <c r="C35" i="1"/>
  <c r="N34" i="1"/>
  <c r="N34" i="1" a="1"/>
  <c r="M34" i="1"/>
  <c r="C34" i="1"/>
  <c r="N33" i="1"/>
  <c r="N33" i="1" a="1"/>
  <c r="M33" i="1"/>
  <c r="C33" i="1"/>
  <c r="N32" i="1"/>
  <c r="N32" i="1" a="1"/>
  <c r="M32" i="1"/>
  <c r="C32" i="1"/>
  <c r="N31" i="1"/>
  <c r="N31" i="1" a="1"/>
  <c r="M31" i="1"/>
  <c r="C31" i="1"/>
  <c r="P30" i="1"/>
  <c r="N30" i="1"/>
  <c r="N30" i="1" a="1"/>
  <c r="M30" i="1"/>
  <c r="C30" i="1"/>
  <c r="P29" i="1"/>
  <c r="N29" i="1"/>
  <c r="N29" i="1" a="1"/>
  <c r="M29" i="1"/>
  <c r="C29" i="1"/>
  <c r="N28" i="1"/>
  <c r="N28" i="1" a="1"/>
  <c r="M28" i="1"/>
  <c r="C28" i="1"/>
  <c r="N27" i="1"/>
  <c r="N27" i="1" a="1"/>
  <c r="M27" i="1"/>
  <c r="C27" i="1"/>
  <c r="P26" i="1"/>
  <c r="N26" i="1"/>
  <c r="N26" i="1" a="1"/>
  <c r="M26" i="1"/>
  <c r="C26" i="1"/>
  <c r="N25" i="1"/>
  <c r="N25" i="1" a="1"/>
  <c r="M25" i="1"/>
  <c r="C25" i="1"/>
  <c r="P24" i="1"/>
  <c r="N24" i="1"/>
  <c r="N24" i="1" a="1"/>
  <c r="M24" i="1"/>
  <c r="C24" i="1"/>
  <c r="P23" i="1"/>
  <c r="N23" i="1"/>
  <c r="N23" i="1" a="1"/>
  <c r="M23" i="1"/>
  <c r="C23" i="1"/>
  <c r="N22" i="1"/>
  <c r="N22" i="1" a="1"/>
  <c r="M22" i="1"/>
  <c r="C22" i="1"/>
  <c r="N21" i="1"/>
  <c r="N21" i="1" a="1"/>
  <c r="M21" i="1"/>
  <c r="C21" i="1"/>
  <c r="N20" i="1"/>
  <c r="N20" i="1" a="1"/>
  <c r="M20" i="1"/>
  <c r="C20" i="1"/>
  <c r="N19" i="1"/>
  <c r="N19" i="1" a="1"/>
  <c r="M19" i="1"/>
  <c r="C19" i="1"/>
  <c r="N18" i="1"/>
  <c r="N18" i="1" a="1"/>
  <c r="M18" i="1"/>
  <c r="C18" i="1"/>
  <c r="N17" i="1"/>
  <c r="N17" i="1" a="1"/>
  <c r="M17" i="1"/>
  <c r="C17" i="1"/>
  <c r="N16" i="1"/>
  <c r="N16" i="1" a="1"/>
  <c r="M16" i="1"/>
  <c r="C16" i="1"/>
  <c r="N15" i="1"/>
  <c r="N15" i="1" a="1"/>
  <c r="M15" i="1"/>
  <c r="C15" i="1"/>
  <c r="N14" i="1"/>
  <c r="N14" i="1" a="1"/>
  <c r="M14" i="1"/>
  <c r="C14" i="1"/>
  <c r="N13" i="1"/>
  <c r="N13" i="1" a="1"/>
  <c r="M13" i="1"/>
  <c r="C13" i="1"/>
  <c r="N12" i="1"/>
  <c r="N12" i="1" a="1"/>
  <c r="M12" i="1"/>
  <c r="C12" i="1"/>
  <c r="N11" i="1"/>
  <c r="N11" i="1" a="1"/>
  <c r="M11" i="1"/>
  <c r="C11" i="1"/>
  <c r="N10" i="1"/>
  <c r="N10" i="1" a="1"/>
  <c r="M10" i="1"/>
  <c r="C10" i="1"/>
  <c r="N9" i="1"/>
  <c r="N9" i="1" a="1"/>
  <c r="M9" i="1"/>
  <c r="C9" i="1"/>
  <c r="N8" i="1"/>
  <c r="N8" i="1" a="1"/>
  <c r="M8" i="1"/>
  <c r="C8" i="1"/>
  <c r="N7" i="1"/>
  <c r="N7" i="1" a="1"/>
  <c r="M7" i="1"/>
  <c r="C7" i="1"/>
  <c r="N6" i="1"/>
  <c r="N6" i="1" a="1"/>
  <c r="M6" i="1"/>
  <c r="C6" i="1"/>
  <c r="N5" i="1"/>
  <c r="N5" i="1" a="1"/>
  <c r="M5" i="1"/>
  <c r="C5" i="1"/>
  <c r="N4" i="1"/>
  <c r="N4" i="1" a="1"/>
  <c r="M4" i="1"/>
  <c r="C4" i="1"/>
  <c r="N3" i="1"/>
  <c r="N3" i="1" a="1"/>
  <c r="M3" i="1"/>
  <c r="C3" i="1"/>
  <c r="N2" i="1"/>
  <c r="N2" i="1" a="1"/>
  <c r="M2" i="1"/>
  <c r="C2" i="1"/>
  <c r="E38" i="34"/>
  <c r="D38" i="34"/>
  <c r="C38" i="34"/>
  <c r="B38" i="3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<sst xmlns="http://schemas.openxmlformats.org/spreadsheetml/2006/main" count="7844" uniqueCount="1381">
  <si>
    <t>Order ID</t>
  </si>
  <si>
    <t>Order Date</t>
  </si>
  <si>
    <t>Region</t>
  </si>
  <si>
    <t>Category</t>
  </si>
  <si>
    <t>Sub-Category</t>
  </si>
  <si>
    <t>Product Name</t>
  </si>
  <si>
    <t>Sales</t>
  </si>
  <si>
    <t>Quantity</t>
  </si>
  <si>
    <t>Discount</t>
  </si>
  <si>
    <t>Profit</t>
  </si>
  <si>
    <t>Customer Type</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</si>
  <si>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</si>
  <si>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</si>
  <si>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</si>
  <si>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</si>
  <si>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</si>
  <si>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</si>
  <si>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</si>
  <si>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</si>
  <si>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</si>
  <si>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</si>
  <si>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</si>
  <si>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</si>
  <si>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</si>
  <si>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</si>
  <si>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</si>
  <si>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</si>
  <si>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</si>
  <si>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</si>
  <si>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</si>
  <si>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</si>
  <si>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</si>
  <si>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</si>
  <si>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</si>
  <si>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</si>
  <si>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</si>
  <si>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</si>
  <si>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</si>
  <si>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</si>
  <si>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</si>
  <si>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</si>
  <si>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</si>
  <si>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</si>
  <si>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</si>
  <si>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</si>
  <si>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</si>
  <si>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</si>
  <si>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</si>
  <si>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</si>
  <si>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</si>
  <si>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</si>
  <si>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</si>
  <si>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</si>
  <si>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</si>
  <si>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</si>
  <si>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</si>
  <si>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</si>
  <si>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</si>
  <si>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</si>
  <si>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</si>
  <si>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</si>
  <si>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</si>
  <si>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</si>
  <si>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</si>
  <si>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</si>
  <si>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</si>
  <si>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</si>
  <si>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</si>
  <si>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</si>
  <si>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</si>
  <si>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</si>
  <si>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</si>
  <si>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</si>
  <si>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</si>
  <si>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</si>
  <si>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</si>
  <si>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</si>
  <si>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</si>
  <si>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</si>
  <si>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</si>
  <si>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</si>
  <si>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</si>
  <si>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</si>
  <si>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</si>
  <si>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</si>
  <si>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</si>
  <si>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</si>
  <si>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</si>
  <si>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</si>
  <si>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</si>
  <si>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</si>
  <si>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</si>
  <si>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</si>
  <si>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</si>
  <si>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</si>
  <si>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</si>
  <si>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</si>
  <si>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</si>
  <si>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</si>
  <si>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</si>
  <si>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</si>
  <si>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</si>
  <si>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</si>
  <si>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</si>
  <si>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</si>
  <si>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</si>
  <si>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</si>
  <si>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</si>
  <si>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</si>
  <si>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</si>
  <si>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</si>
  <si>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</si>
  <si>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</si>
  <si>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</si>
  <si>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</si>
  <si>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</si>
  <si>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</si>
  <si>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</si>
  <si>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</si>
  <si>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</si>
  <si>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</si>
  <si>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</si>
  <si>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</si>
  <si>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</si>
  <si>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</si>
  <si>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</si>
  <si>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</si>
  <si>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</si>
  <si>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</si>
  <si>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</si>
  <si>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</si>
  <si>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</si>
  <si>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</si>
  <si>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</si>
  <si>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</si>
  <si>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</si>
  <si>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</si>
  <si>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</si>
  <si>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</si>
  <si>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</si>
  <si>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</si>
  <si>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</si>
  <si>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</si>
  <si>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</si>
  <si>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</si>
  <si>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</si>
  <si>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</si>
  <si>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</si>
  <si>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</si>
  <si>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</si>
  <si>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</si>
  <si>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</si>
  <si>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</si>
  <si>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</si>
  <si>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</si>
  <si>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</si>
  <si>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</si>
  <si>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</si>
  <si>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</si>
  <si>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</si>
  <si>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</si>
  <si>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</si>
  <si>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</si>
  <si>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</si>
  <si>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</si>
  <si>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</si>
  <si>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</si>
  <si>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</si>
  <si>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</si>
  <si>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</si>
  <si>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</si>
  <si>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</si>
  <si>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</si>
  <si>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</si>
  <si>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</si>
  <si>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</si>
  <si>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</si>
  <si>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</si>
  <si>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</si>
  <si>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</si>
  <si>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</si>
  <si>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</si>
  <si>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</si>
  <si>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</si>
  <si>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</si>
  <si>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</si>
  <si>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</si>
  <si>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</si>
  <si>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</si>
  <si>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</si>
  <si>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</si>
  <si>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</si>
  <si>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</si>
  <si>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</si>
  <si>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</si>
  <si>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</si>
  <si>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</si>
  <si>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</si>
  <si>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</si>
  <si>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</si>
  <si>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</si>
  <si>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</si>
  <si>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</si>
  <si>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</si>
  <si>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</si>
  <si>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</si>
  <si>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</si>
  <si>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</si>
  <si>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</si>
  <si>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</si>
  <si>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</si>
  <si>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</si>
  <si>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</si>
  <si>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</si>
  <si>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</si>
  <si>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</si>
  <si>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</si>
  <si>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</si>
  <si>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</si>
  <si>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</si>
  <si>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</si>
  <si>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</si>
  <si>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</si>
  <si>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</si>
  <si>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</si>
  <si>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</si>
  <si>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</si>
  <si>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</si>
  <si>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</si>
  <si>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</si>
  <si>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</si>
  <si>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</si>
  <si>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</si>
  <si>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</si>
  <si>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</si>
  <si>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</si>
  <si>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</si>
  <si>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</si>
  <si>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</si>
  <si>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</si>
  <si>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</si>
  <si>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</si>
  <si>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</si>
  <si>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</si>
  <si>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</si>
  <si>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</si>
  <si>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</si>
  <si>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</si>
  <si>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</si>
  <si>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</si>
  <si>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</si>
  <si>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</si>
  <si>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</si>
  <si>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</si>
  <si>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</si>
  <si>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</si>
  <si>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</si>
  <si>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</si>
  <si>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</si>
  <si>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</si>
  <si>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</si>
  <si>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</si>
  <si>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</si>
  <si>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</si>
  <si>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</si>
  <si>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</si>
  <si>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</si>
  <si>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</si>
  <si>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</si>
  <si>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</si>
  <si>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</si>
  <si>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</si>
  <si>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</si>
  <si>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</si>
  <si>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</si>
  <si>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</si>
  <si>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</si>
  <si>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</si>
  <si>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</si>
  <si>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</si>
  <si>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</si>
  <si>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</si>
  <si>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</si>
  <si>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</si>
  <si>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</si>
  <si>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</si>
  <si>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</si>
  <si>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</si>
  <si>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</si>
  <si>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</si>
  <si>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</si>
  <si>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</si>
  <si>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</si>
  <si>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</si>
  <si>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</si>
  <si>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</si>
  <si>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</si>
  <si>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</si>
  <si>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</si>
  <si>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</si>
  <si>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</si>
  <si>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</si>
  <si>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</si>
  <si>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</si>
  <si>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</si>
  <si>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</si>
  <si>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</si>
  <si>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</si>
  <si>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</si>
  <si>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</si>
  <si>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</si>
  <si>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</si>
  <si>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</si>
  <si>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</si>
  <si>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</si>
  <si>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</si>
  <si>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</si>
  <si>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</si>
  <si>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</si>
  <si>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</si>
  <si>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</si>
  <si>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</si>
  <si>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</si>
  <si>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</si>
  <si>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</si>
  <si>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</si>
  <si>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</si>
  <si>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</si>
  <si>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</si>
  <si>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</si>
  <si>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</si>
  <si>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</si>
  <si>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</si>
  <si>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</si>
  <si>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</si>
  <si>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</si>
  <si>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</si>
  <si>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</si>
  <si>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</si>
  <si>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</si>
  <si>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</si>
  <si>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</si>
  <si>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</si>
  <si>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</si>
  <si>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</si>
  <si>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</si>
  <si>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</si>
  <si>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</si>
  <si>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</si>
  <si>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</si>
  <si>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</si>
  <si>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</si>
  <si>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</si>
  <si>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</si>
  <si>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</si>
  <si>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</si>
  <si>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</si>
  <si>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</si>
  <si>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</si>
  <si>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</si>
  <si>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</si>
  <si>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</si>
  <si>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</si>
  <si>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</si>
  <si>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</si>
  <si>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</si>
  <si>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</si>
  <si>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</si>
  <si>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</si>
  <si>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</si>
  <si>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</si>
  <si>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</si>
  <si>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</si>
  <si>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</si>
  <si>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</si>
  <si>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</si>
  <si>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</si>
  <si>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</si>
  <si>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</si>
  <si>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</si>
  <si>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</si>
  <si>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</si>
  <si>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</si>
  <si>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</si>
  <si>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</si>
  <si>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</si>
  <si>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</si>
  <si>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</si>
  <si>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</si>
  <si>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</si>
  <si>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</si>
  <si>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</si>
  <si>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</si>
  <si>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</si>
  <si>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</si>
  <si>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</si>
  <si>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</si>
  <si>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</si>
  <si>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</si>
  <si>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</si>
  <si>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</si>
  <si>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</si>
  <si>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</si>
  <si>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</si>
  <si>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</si>
  <si>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</si>
  <si>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</si>
  <si>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</si>
  <si>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</si>
  <si>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</si>
  <si>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</si>
  <si>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</si>
  <si>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</si>
  <si>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</si>
  <si>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</si>
  <si>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</si>
  <si>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</si>
  <si>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</si>
  <si>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</si>
  <si>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</si>
  <si>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</si>
  <si>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</si>
  <si>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</si>
  <si>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</si>
  <si>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</si>
  <si>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</si>
  <si>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</si>
  <si>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</si>
  <si>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</si>
  <si>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</si>
  <si>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</si>
  <si>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</si>
  <si>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</si>
  <si>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</si>
  <si>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</si>
  <si>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</si>
  <si>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</si>
  <si>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</si>
  <si>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</si>
  <si>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</si>
  <si>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</si>
  <si>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</si>
  <si>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</si>
  <si>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</si>
  <si>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</si>
  <si>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</si>
  <si>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</si>
  <si>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</si>
  <si>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</si>
  <si>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</si>
  <si>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</si>
  <si>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</si>
  <si>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</si>
  <si>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</si>
  <si>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</si>
  <si>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</si>
  <si>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</si>
  <si>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</si>
  <si>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</si>
  <si>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</si>
  <si>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</si>
  <si>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</si>
  <si>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</si>
  <si>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</si>
  <si>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</si>
  <si>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</si>
  <si>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</si>
  <si>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</si>
  <si>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</si>
  <si>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</si>
  <si>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</si>
  <si>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</si>
  <si>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</si>
  <si>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</si>
  <si>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</si>
  <si>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</si>
  <si>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</si>
  <si>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</si>
  <si>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</si>
  <si>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</si>
  <si>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</si>
  <si>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</si>
  <si>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</si>
  <si>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</si>
  <si>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</si>
  <si>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</si>
  <si>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</si>
  <si>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</si>
  <si>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</si>
  <si>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</si>
  <si>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</si>
  <si>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</si>
  <si>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</si>
  <si>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</si>
  <si>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</si>
  <si>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</si>
  <si>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</si>
  <si>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</si>
  <si>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</si>
  <si>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</si>
  <si>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</si>
  <si>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</si>
  <si>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</si>
  <si>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</si>
  <si>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</si>
  <si>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</si>
  <si>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</si>
  <si>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</si>
  <si>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</si>
  <si>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</si>
  <si>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</si>
  <si>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2023-06-17</t>
  </si>
  <si>
    <t>2023-04-05</t>
  </si>
  <si>
    <t>2023-01-24</t>
  </si>
  <si>
    <t>2023-09-14</t>
  </si>
  <si>
    <t>2023-02-09</t>
  </si>
  <si>
    <t>2023-07-18</t>
  </si>
  <si>
    <t>2023-07-24</t>
  </si>
  <si>
    <t>2023-07-20</t>
  </si>
  <si>
    <t>2023-05-05</t>
  </si>
  <si>
    <t>2023-08-03</t>
  </si>
  <si>
    <t>2023-03-25</t>
  </si>
  <si>
    <t>2023-09-24</t>
  </si>
  <si>
    <t>2023-11-27</t>
  </si>
  <si>
    <t>2023-09-04</t>
  </si>
  <si>
    <t>2023-06-04</t>
  </si>
  <si>
    <t>2023-09-27</t>
  </si>
  <si>
    <t>2023-03-02</t>
  </si>
  <si>
    <t>2023-07-28</t>
  </si>
  <si>
    <t>2023-07-31</t>
  </si>
  <si>
    <t>2023-04-23</t>
  </si>
  <si>
    <t>2023-10-23</t>
  </si>
  <si>
    <t>2023-06-20</t>
  </si>
  <si>
    <t>2023-08-10</t>
  </si>
  <si>
    <t>2023-10-28</t>
  </si>
  <si>
    <t>2023-06-28</t>
  </si>
  <si>
    <t>2023-02-03</t>
  </si>
  <si>
    <t>2023-02-22</t>
  </si>
  <si>
    <t>2023-12-27</t>
  </si>
  <si>
    <t>2023-03-01</t>
  </si>
  <si>
    <t>2023-08-04</t>
  </si>
  <si>
    <t>2023-01-14</t>
  </si>
  <si>
    <t>2023-06-07</t>
  </si>
  <si>
    <t>2023-04-13</t>
  </si>
  <si>
    <t>2023-11-18</t>
  </si>
  <si>
    <t>2023-03-19</t>
  </si>
  <si>
    <t>2023-08-13</t>
  </si>
  <si>
    <t>2023-06-23</t>
  </si>
  <si>
    <t>2023-03-03</t>
  </si>
  <si>
    <t>2023-07-22</t>
  </si>
  <si>
    <t>2023-12-21</t>
  </si>
  <si>
    <t>2023-08-11</t>
  </si>
  <si>
    <t>2023-06-14</t>
  </si>
  <si>
    <t>2023-12-09</t>
  </si>
  <si>
    <t>2023-03-06</t>
  </si>
  <si>
    <t>2023-07-11</t>
  </si>
  <si>
    <t>2023-10-22</t>
  </si>
  <si>
    <t>2023-11-25</t>
  </si>
  <si>
    <t>2023-04-01</t>
  </si>
  <si>
    <t>2023-05-12</t>
  </si>
  <si>
    <t>2023-06-22</t>
  </si>
  <si>
    <t>2023-10-19</t>
  </si>
  <si>
    <t>2023-05-18</t>
  </si>
  <si>
    <t>2023-12-12</t>
  </si>
  <si>
    <t>2023-08-05</t>
  </si>
  <si>
    <t>2023-11-17</t>
  </si>
  <si>
    <t>2023-09-17</t>
  </si>
  <si>
    <t>2023-08-31</t>
  </si>
  <si>
    <t>2023-03-08</t>
  </si>
  <si>
    <t>2023-06-25</t>
  </si>
  <si>
    <t>2023-02-12</t>
  </si>
  <si>
    <t>2023-10-12</t>
  </si>
  <si>
    <t>2023-12-18</t>
  </si>
  <si>
    <t>2023-10-15</t>
  </si>
  <si>
    <t>2023-03-28</t>
  </si>
  <si>
    <t>2023-10-13</t>
  </si>
  <si>
    <t>2023-09-22</t>
  </si>
  <si>
    <t>2023-12-20</t>
  </si>
  <si>
    <t>2023-03-07</t>
  </si>
  <si>
    <t>2023-08-30</t>
  </si>
  <si>
    <t>2023-11-15</t>
  </si>
  <si>
    <t>2023-05-29</t>
  </si>
  <si>
    <t>2023-09-30</t>
  </si>
  <si>
    <t>2023-04-28</t>
  </si>
  <si>
    <t>2023-02-07</t>
  </si>
  <si>
    <t>2023-04-26</t>
  </si>
  <si>
    <t>2023-11-04</t>
  </si>
  <si>
    <t>2023-12-25</t>
  </si>
  <si>
    <t>2023-08-08</t>
  </si>
  <si>
    <t>2023-01-09</t>
  </si>
  <si>
    <t>2023-04-29</t>
  </si>
  <si>
    <t>2023-12-07</t>
  </si>
  <si>
    <t>2023-07-13</t>
  </si>
  <si>
    <t>2023-07-30</t>
  </si>
  <si>
    <t>2023-12-30</t>
  </si>
  <si>
    <t>2023-04-04</t>
  </si>
  <si>
    <t>2023-10-08</t>
  </si>
  <si>
    <t>2023-05-04</t>
  </si>
  <si>
    <t>2023-02-21</t>
  </si>
  <si>
    <t>2023-01-25</t>
  </si>
  <si>
    <t>2023-09-11</t>
  </si>
  <si>
    <t>2023-01-15</t>
  </si>
  <si>
    <t>2023-02-28</t>
  </si>
  <si>
    <t>2023-04-02</t>
  </si>
  <si>
    <t>2023-06-13</t>
  </si>
  <si>
    <t>2023-02-13</t>
  </si>
  <si>
    <t>2023-10-18</t>
  </si>
  <si>
    <t>2023-10-27</t>
  </si>
  <si>
    <t>2023-06-19</t>
  </si>
  <si>
    <t>2023-09-18</t>
  </si>
  <si>
    <t>2023-05-31</t>
  </si>
  <si>
    <t>2023-07-21</t>
  </si>
  <si>
    <t>2023-03-29</t>
  </si>
  <si>
    <t>2023-01-12</t>
  </si>
  <si>
    <t>2023-01-30</t>
  </si>
  <si>
    <t>2023-10-05</t>
  </si>
  <si>
    <t>2023-09-19</t>
  </si>
  <si>
    <t>2023-04-09</t>
  </si>
  <si>
    <t>2023-12-31</t>
  </si>
  <si>
    <t>2023-07-17</t>
  </si>
  <si>
    <t>2023-02-06</t>
  </si>
  <si>
    <t>2023-08-18</t>
  </si>
  <si>
    <t>2023-03-17</t>
  </si>
  <si>
    <t>2023-09-06</t>
  </si>
  <si>
    <t>2023-11-12</t>
  </si>
  <si>
    <t>2023-10-01</t>
  </si>
  <si>
    <t>2023-08-17</t>
  </si>
  <si>
    <t>2023-03-27</t>
  </si>
  <si>
    <t>2023-06-05</t>
  </si>
  <si>
    <t>2023-10-10</t>
  </si>
  <si>
    <t>2023-02-16</t>
  </si>
  <si>
    <t>2023-01-01</t>
  </si>
  <si>
    <t>2023-12-26</t>
  </si>
  <si>
    <t>2023-10-07</t>
  </si>
  <si>
    <t>2023-06-24</t>
  </si>
  <si>
    <t>2023-01-26</t>
  </si>
  <si>
    <t>2023-07-16</t>
  </si>
  <si>
    <t>2023-10-25</t>
  </si>
  <si>
    <t>2023-08-15</t>
  </si>
  <si>
    <t>2023-03-23</t>
  </si>
  <si>
    <t>2023-02-15</t>
  </si>
  <si>
    <t>2023-04-18</t>
  </si>
  <si>
    <t>2023-06-26</t>
  </si>
  <si>
    <t>2023-10-26</t>
  </si>
  <si>
    <t>2023-01-22</t>
  </si>
  <si>
    <t>2023-11-21</t>
  </si>
  <si>
    <t>2023-10-11</t>
  </si>
  <si>
    <t>2023-07-29</t>
  </si>
  <si>
    <t>2023-12-01</t>
  </si>
  <si>
    <t>2023-10-02</t>
  </si>
  <si>
    <t>2023-12-08</t>
  </si>
  <si>
    <t>2023-05-01</t>
  </si>
  <si>
    <t>2023-10-04</t>
  </si>
  <si>
    <t>2023-10-16</t>
  </si>
  <si>
    <t>2023-03-05</t>
  </si>
  <si>
    <t>2023-08-23</t>
  </si>
  <si>
    <t>2023-10-03</t>
  </si>
  <si>
    <t>2023-09-23</t>
  </si>
  <si>
    <t>2023-01-20</t>
  </si>
  <si>
    <t>2023-02-01</t>
  </si>
  <si>
    <t>2023-10-20</t>
  </si>
  <si>
    <t>2023-11-01</t>
  </si>
  <si>
    <t>2023-06-02</t>
  </si>
  <si>
    <t>2023-07-12</t>
  </si>
  <si>
    <t>2023-06-08</t>
  </si>
  <si>
    <t>2023-10-29</t>
  </si>
  <si>
    <t>2023-02-04</t>
  </si>
  <si>
    <t>2023-11-26</t>
  </si>
  <si>
    <t>2023-06-10</t>
  </si>
  <si>
    <t>2023-12-16</t>
  </si>
  <si>
    <t>2023-05-24</t>
  </si>
  <si>
    <t>2023-12-04</t>
  </si>
  <si>
    <t>2023-03-22</t>
  </si>
  <si>
    <t>2023-03-24</t>
  </si>
  <si>
    <t>2023-04-27</t>
  </si>
  <si>
    <t>2023-11-22</t>
  </si>
  <si>
    <t>2023-04-25</t>
  </si>
  <si>
    <t>2023-03-04</t>
  </si>
  <si>
    <t>2023-04-06</t>
  </si>
  <si>
    <t>2023-03-21</t>
  </si>
  <si>
    <t>2023-01-04</t>
  </si>
  <si>
    <t>2023-04-14</t>
  </si>
  <si>
    <t>2023-06-15</t>
  </si>
  <si>
    <t>2023-04-11</t>
  </si>
  <si>
    <t>2023-08-25</t>
  </si>
  <si>
    <t>2023-08-19</t>
  </si>
  <si>
    <t>2023-08-24</t>
  </si>
  <si>
    <t>2023-06-30</t>
  </si>
  <si>
    <t>2023-01-18</t>
  </si>
  <si>
    <t>2023-07-04</t>
  </si>
  <si>
    <t>2023-03-10</t>
  </si>
  <si>
    <t>2023-01-19</t>
  </si>
  <si>
    <t>2023-12-29</t>
  </si>
  <si>
    <t>2023-07-10</t>
  </si>
  <si>
    <t>2023-04-20</t>
  </si>
  <si>
    <t>2023-05-23</t>
  </si>
  <si>
    <t>2023-01-28</t>
  </si>
  <si>
    <t>2023-09-15</t>
  </si>
  <si>
    <t>2023-07-09</t>
  </si>
  <si>
    <t>2023-06-12</t>
  </si>
  <si>
    <t>2023-07-08</t>
  </si>
  <si>
    <t>2023-01-17</t>
  </si>
  <si>
    <t>2023-03-12</t>
  </si>
  <si>
    <t>2023-02-14</t>
  </si>
  <si>
    <t>2023-06-09</t>
  </si>
  <si>
    <t>2023-04-30</t>
  </si>
  <si>
    <t>2023-08-21</t>
  </si>
  <si>
    <t>2023-07-14</t>
  </si>
  <si>
    <t>2023-11-03</t>
  </si>
  <si>
    <t>2023-01-23</t>
  </si>
  <si>
    <t>2023-03-31</t>
  </si>
  <si>
    <t>2023-05-27</t>
  </si>
  <si>
    <t>2023-03-18</t>
  </si>
  <si>
    <t>2023-01-05</t>
  </si>
  <si>
    <t>2023-02-08</t>
  </si>
  <si>
    <t>2023-01-27</t>
  </si>
  <si>
    <t>2023-12-10</t>
  </si>
  <si>
    <t>2023-07-02</t>
  </si>
  <si>
    <t>2023-12-24</t>
  </si>
  <si>
    <t>2023-02-25</t>
  </si>
  <si>
    <t>2023-11-06</t>
  </si>
  <si>
    <t>2023-06-29</t>
  </si>
  <si>
    <t>2023-08-16</t>
  </si>
  <si>
    <t>2023-05-03</t>
  </si>
  <si>
    <t>2023-07-06</t>
  </si>
  <si>
    <t>2023-07-03</t>
  </si>
  <si>
    <t>2023-05-21</t>
  </si>
  <si>
    <t>2023-04-07</t>
  </si>
  <si>
    <t>2023-04-17</t>
  </si>
  <si>
    <t>2023-12-11</t>
  </si>
  <si>
    <t>2023-09-28</t>
  </si>
  <si>
    <t>2023-11-29</t>
  </si>
  <si>
    <t>2023-05-11</t>
  </si>
  <si>
    <t>2023-09-02</t>
  </si>
  <si>
    <t>2023-03-30</t>
  </si>
  <si>
    <t>2023-12-22</t>
  </si>
  <si>
    <t>2023-03-13</t>
  </si>
  <si>
    <t>2023-12-28</t>
  </si>
  <si>
    <t>2023-05-07</t>
  </si>
  <si>
    <t>2023-08-27</t>
  </si>
  <si>
    <t>2023-05-20</t>
  </si>
  <si>
    <t>2023-07-01</t>
  </si>
  <si>
    <t>2023-01-29</t>
  </si>
  <si>
    <t>2023-05-19</t>
  </si>
  <si>
    <t>2023-12-17</t>
  </si>
  <si>
    <t>2023-11-19</t>
  </si>
  <si>
    <t>2023-09-01</t>
  </si>
  <si>
    <t>2023-08-22</t>
  </si>
  <si>
    <t>2023-05-08</t>
  </si>
  <si>
    <t>2023-11-02</t>
  </si>
  <si>
    <t>2023-10-17</t>
  </si>
  <si>
    <t>2023-09-13</t>
  </si>
  <si>
    <t>2023-09-03</t>
  </si>
  <si>
    <t>2023-02-17</t>
  </si>
  <si>
    <t>2023-02-02</t>
  </si>
  <si>
    <t>2023-12-03</t>
  </si>
  <si>
    <t>2023-09-05</t>
  </si>
  <si>
    <t>2023-05-30</t>
  </si>
  <si>
    <t>2023-02-05</t>
  </si>
  <si>
    <t>2023-11-09</t>
  </si>
  <si>
    <t>2023-12-14</t>
  </si>
  <si>
    <t>2023-11-14</t>
  </si>
  <si>
    <t>2023-12-06</t>
  </si>
  <si>
    <t>2023-03-16</t>
  </si>
  <si>
    <t>2023-10-21</t>
  </si>
  <si>
    <t>2023-05-10</t>
  </si>
  <si>
    <t>2023-11-05</t>
  </si>
  <si>
    <t>2023-05-28</t>
  </si>
  <si>
    <t>2023-08-02</t>
  </si>
  <si>
    <t>2023-01-03</t>
  </si>
  <si>
    <t>2023-11-11</t>
  </si>
  <si>
    <t>2023-01-31</t>
  </si>
  <si>
    <t>2023-01-11</t>
  </si>
  <si>
    <t>2023-09-12</t>
  </si>
  <si>
    <t>2023-07-25</t>
  </si>
  <si>
    <t>2023-08-12</t>
  </si>
  <si>
    <t>2023-09-10</t>
  </si>
  <si>
    <t>2023-03-14</t>
  </si>
  <si>
    <t>2023-03-09</t>
  </si>
  <si>
    <t>2023-04-24</t>
  </si>
  <si>
    <t>2023-04-12</t>
  </si>
  <si>
    <t>2023-11-24</t>
  </si>
  <si>
    <t>2023-11-16</t>
  </si>
  <si>
    <t>East</t>
  </si>
  <si>
    <t>West</t>
  </si>
  <si>
    <t>South</t>
  </si>
  <si>
    <t>North</t>
  </si>
  <si>
    <t>Office Supplies</t>
  </si>
  <si>
    <t>Technology</t>
  </si>
  <si>
    <t>Furniture</t>
  </si>
  <si>
    <t>Stapler</t>
  </si>
  <si>
    <t>Printer</t>
  </si>
  <si>
    <t>Binder</t>
  </si>
  <si>
    <t>Phone</t>
  </si>
  <si>
    <t>Chair</t>
  </si>
  <si>
    <t>Monitor</t>
  </si>
  <si>
    <t>Laptop</t>
  </si>
  <si>
    <t>Sofa</t>
  </si>
  <si>
    <t>Table</t>
  </si>
  <si>
    <t>Bookcase</t>
  </si>
  <si>
    <t>Paper</t>
  </si>
  <si>
    <t>Pen</t>
  </si>
  <si>
    <t>Stapler Model-217</t>
  </si>
  <si>
    <t>Printer Model-628</t>
  </si>
  <si>
    <t>Printer Model-937</t>
  </si>
  <si>
    <t>Binder Model-166</t>
  </si>
  <si>
    <t>Stapler Model-257</t>
  </si>
  <si>
    <t>Phone Model-541</t>
  </si>
  <si>
    <t>Chair Model-531</t>
  </si>
  <si>
    <t>Binder Model-336</t>
  </si>
  <si>
    <t>Monitor Model-188</t>
  </si>
  <si>
    <t>Printer Model-117</t>
  </si>
  <si>
    <t>Laptop Model-306</t>
  </si>
  <si>
    <t>Phone Model-683</t>
  </si>
  <si>
    <t>Sofa Model-896</t>
  </si>
  <si>
    <t>Table Model-293</t>
  </si>
  <si>
    <t>Sofa Model-890</t>
  </si>
  <si>
    <t>Table Model-396</t>
  </si>
  <si>
    <t>Bookcase Model-567</t>
  </si>
  <si>
    <t>Paper Model-874</t>
  </si>
  <si>
    <t>Table Model-923</t>
  </si>
  <si>
    <t>Chair Model-407</t>
  </si>
  <si>
    <t>Laptop Model-863</t>
  </si>
  <si>
    <t>Phone Model-925</t>
  </si>
  <si>
    <t>Monitor Model-275</t>
  </si>
  <si>
    <t>Chair Model-449</t>
  </si>
  <si>
    <t>Binder Model-671</t>
  </si>
  <si>
    <t>Phone Model-832</t>
  </si>
  <si>
    <t>Phone Model-302</t>
  </si>
  <si>
    <t>Sofa Model-862</t>
  </si>
  <si>
    <t>Printer Model-415</t>
  </si>
  <si>
    <t>Paper Model-341</t>
  </si>
  <si>
    <t>Pen Model-876</t>
  </si>
  <si>
    <t>Stapler Model-315</t>
  </si>
  <si>
    <t>Laptop Model-762</t>
  </si>
  <si>
    <t>Chair Model-681</t>
  </si>
  <si>
    <t>Binder Model-649</t>
  </si>
  <si>
    <t>Paper Model-801</t>
  </si>
  <si>
    <t>Laptop Model-960</t>
  </si>
  <si>
    <t>Table Model-132</t>
  </si>
  <si>
    <t>Stapler Model-392</t>
  </si>
  <si>
    <t>Laptop Model-214</t>
  </si>
  <si>
    <t>Printer Model-989</t>
  </si>
  <si>
    <t>Laptop Model-205</t>
  </si>
  <si>
    <t>Sofa Model-556</t>
  </si>
  <si>
    <t>Printer Model-621</t>
  </si>
  <si>
    <t>Chair Model-549</t>
  </si>
  <si>
    <t>Pen Model-599</t>
  </si>
  <si>
    <t>Chair Model-542</t>
  </si>
  <si>
    <t>Stapler Model-979</t>
  </si>
  <si>
    <t>Table Model-178</t>
  </si>
  <si>
    <t>Monitor Model-444</t>
  </si>
  <si>
    <t>Paper Model-673</t>
  </si>
  <si>
    <t>Pen Model-624</t>
  </si>
  <si>
    <t>Binder Model-791</t>
  </si>
  <si>
    <t>Pen Model-485</t>
  </si>
  <si>
    <t>Laptop Model-278</t>
  </si>
  <si>
    <t>Monitor Model-302</t>
  </si>
  <si>
    <t>Paper Model-608</t>
  </si>
  <si>
    <t>Pen Model-630</t>
  </si>
  <si>
    <t>Laptop Model-768</t>
  </si>
  <si>
    <t>Sofa Model-936</t>
  </si>
  <si>
    <t>Stapler Model-465</t>
  </si>
  <si>
    <t>Sofa Model-243</t>
  </si>
  <si>
    <t>Table Model-149</t>
  </si>
  <si>
    <t>Table Model-765</t>
  </si>
  <si>
    <t>Laptop Model-124</t>
  </si>
  <si>
    <t>Laptop Model-298</t>
  </si>
  <si>
    <t>Pen Model-845</t>
  </si>
  <si>
    <t>Bookcase Model-685</t>
  </si>
  <si>
    <t>Stapler Model-273</t>
  </si>
  <si>
    <t>Bookcase Model-237</t>
  </si>
  <si>
    <t>Chair Model-180</t>
  </si>
  <si>
    <t>Laptop Model-759</t>
  </si>
  <si>
    <t>Bookcase Model-162</t>
  </si>
  <si>
    <t>Printer Model-699</t>
  </si>
  <si>
    <t>Table Model-213</t>
  </si>
  <si>
    <t>Table Model-147</t>
  </si>
  <si>
    <t>Pen Model-937</t>
  </si>
  <si>
    <t>Chair Model-768</t>
  </si>
  <si>
    <t>Phone Model-229</t>
  </si>
  <si>
    <t>Chair Model-658</t>
  </si>
  <si>
    <t>Table Model-529</t>
  </si>
  <si>
    <t>Phone Model-591</t>
  </si>
  <si>
    <t>Paper Model-816</t>
  </si>
  <si>
    <t>Paper Model-706</t>
  </si>
  <si>
    <t>Pen Model-180</t>
  </si>
  <si>
    <t>Stapler Model-277</t>
  </si>
  <si>
    <t>Printer Model-618</t>
  </si>
  <si>
    <t>Sofa Model-305</t>
  </si>
  <si>
    <t>Pen Model-802</t>
  </si>
  <si>
    <t>Phone Model-578</t>
  </si>
  <si>
    <t>Pen Model-141</t>
  </si>
  <si>
    <t>Paper Model-922</t>
  </si>
  <si>
    <t>Laptop Model-141</t>
  </si>
  <si>
    <t>Stapler Model-773</t>
  </si>
  <si>
    <t>Sofa Model-911</t>
  </si>
  <si>
    <t>Pen Model-962</t>
  </si>
  <si>
    <t>Table Model-736</t>
  </si>
  <si>
    <t>Stapler Model-610</t>
  </si>
  <si>
    <t>Printer Model-858</t>
  </si>
  <si>
    <t>Phone Model-788</t>
  </si>
  <si>
    <t>Stapler Model-949</t>
  </si>
  <si>
    <t>Bookcase Model-356</t>
  </si>
  <si>
    <t>Binder Model-830</t>
  </si>
  <si>
    <t>Monitor Model-228</t>
  </si>
  <si>
    <t>Phone Model-919</t>
  </si>
  <si>
    <t>Printer Model-558</t>
  </si>
  <si>
    <t>Binder Model-869</t>
  </si>
  <si>
    <t>Stapler Model-312</t>
  </si>
  <si>
    <t>Phone Model-315</t>
  </si>
  <si>
    <t>Binder Model-464</t>
  </si>
  <si>
    <t>Bookcase Model-852</t>
  </si>
  <si>
    <t>Chair Model-795</t>
  </si>
  <si>
    <t>Bookcase Model-802</t>
  </si>
  <si>
    <t>Paper Model-976</t>
  </si>
  <si>
    <t>Monitor Model-233</t>
  </si>
  <si>
    <t>Stapler Model-921</t>
  </si>
  <si>
    <t>Paper Model-356</t>
  </si>
  <si>
    <t>Binder Model-317</t>
  </si>
  <si>
    <t>Chair Model-825</t>
  </si>
  <si>
    <t>Phone Model-416</t>
  </si>
  <si>
    <t>Sofa Model-477</t>
  </si>
  <si>
    <t>Sofa Model-988</t>
  </si>
  <si>
    <t>Phone Model-513</t>
  </si>
  <si>
    <t>Sofa Model-496</t>
  </si>
  <si>
    <t>Sofa Model-973</t>
  </si>
  <si>
    <t>Printer Model-287</t>
  </si>
  <si>
    <t>Bookcase Model-201</t>
  </si>
  <si>
    <t>Stapler Model-986</t>
  </si>
  <si>
    <t>Paper Model-958</t>
  </si>
  <si>
    <t>Table Model-276</t>
  </si>
  <si>
    <t>Laptop Model-814</t>
  </si>
  <si>
    <t>Binder Model-177</t>
  </si>
  <si>
    <t>Bookcase Model-614</t>
  </si>
  <si>
    <t>Bookcase Model-891</t>
  </si>
  <si>
    <t>Pen Model-710</t>
  </si>
  <si>
    <t>Printer Model-940</t>
  </si>
  <si>
    <t>Paper Model-291</t>
  </si>
  <si>
    <t>Sofa Model-531</t>
  </si>
  <si>
    <t>Stapler Model-731</t>
  </si>
  <si>
    <t>Binder Model-495</t>
  </si>
  <si>
    <t>Chair Model-955</t>
  </si>
  <si>
    <t>Pen Model-464</t>
  </si>
  <si>
    <t>Table Model-715</t>
  </si>
  <si>
    <t>Table Model-336</t>
  </si>
  <si>
    <t>Laptop Model-195</t>
  </si>
  <si>
    <t>Laptop Model-784</t>
  </si>
  <si>
    <t>Bookcase Model-556</t>
  </si>
  <si>
    <t>Chair Model-947</t>
  </si>
  <si>
    <t>Binder Model-790</t>
  </si>
  <si>
    <t>Chair Model-129</t>
  </si>
  <si>
    <t>Table Model-745</t>
  </si>
  <si>
    <t>Pen Model-942</t>
  </si>
  <si>
    <t>Pen Model-533</t>
  </si>
  <si>
    <t>Sofa Model-648</t>
  </si>
  <si>
    <t>Sofa Model-858</t>
  </si>
  <si>
    <t>Laptop Model-626</t>
  </si>
  <si>
    <t>Phone Model-690</t>
  </si>
  <si>
    <t>Printer Model-230</t>
  </si>
  <si>
    <t>Binder Model-856</t>
  </si>
  <si>
    <t>Sofa Model-235</t>
  </si>
  <si>
    <t>Sofa Model-121</t>
  </si>
  <si>
    <t>Bookcase Model-785</t>
  </si>
  <si>
    <t>Pen Model-514</t>
  </si>
  <si>
    <t>Laptop Model-321</t>
  </si>
  <si>
    <t>Table Model-388</t>
  </si>
  <si>
    <t>Printer Model-839</t>
  </si>
  <si>
    <t>Binder Model-469</t>
  </si>
  <si>
    <t>Phone Model-246</t>
  </si>
  <si>
    <t>Phone Model-753</t>
  </si>
  <si>
    <t>Chair Model-654</t>
  </si>
  <si>
    <t>Laptop Model-608</t>
  </si>
  <si>
    <t>Bookcase Model-721</t>
  </si>
  <si>
    <t>Paper Model-273</t>
  </si>
  <si>
    <t>Pen Model-652</t>
  </si>
  <si>
    <t>Bookcase Model-335</t>
  </si>
  <si>
    <t>Pen Model-587</t>
  </si>
  <si>
    <t>Table Model-604</t>
  </si>
  <si>
    <t>Stapler Model-243</t>
  </si>
  <si>
    <t>Chair Model-913</t>
  </si>
  <si>
    <t>Printer Model-894</t>
  </si>
  <si>
    <t>Sofa Model-486</t>
  </si>
  <si>
    <t>Stapler Model-299</t>
  </si>
  <si>
    <t>Monitor Model-569</t>
  </si>
  <si>
    <t>Bookcase Model-839</t>
  </si>
  <si>
    <t>Bookcase Model-752</t>
  </si>
  <si>
    <t>Binder Model-563</t>
  </si>
  <si>
    <t>Printer Model-559</t>
  </si>
  <si>
    <t>Laptop Model-120</t>
  </si>
  <si>
    <t>Binder Model-706</t>
  </si>
  <si>
    <t>Binder Model-668</t>
  </si>
  <si>
    <t>Sofa Model-573</t>
  </si>
  <si>
    <t>Pen Model-539</t>
  </si>
  <si>
    <t>Laptop Model-708</t>
  </si>
  <si>
    <t>Monitor Model-949</t>
  </si>
  <si>
    <t>Phone Model-130</t>
  </si>
  <si>
    <t>Phone Model-437</t>
  </si>
  <si>
    <t>Laptop Model-316</t>
  </si>
  <si>
    <t>Pen Model-801</t>
  </si>
  <si>
    <t>Table Model-683</t>
  </si>
  <si>
    <t>Chair Model-367</t>
  </si>
  <si>
    <t>Paper Model-913</t>
  </si>
  <si>
    <t>Pen Model-352</t>
  </si>
  <si>
    <t>Chair Model-310</t>
  </si>
  <si>
    <t>Bookcase Model-622</t>
  </si>
  <si>
    <t>Laptop Model-287</t>
  </si>
  <si>
    <t>Phone Model-908</t>
  </si>
  <si>
    <t>Pen Model-754</t>
  </si>
  <si>
    <t>Bookcase Model-649</t>
  </si>
  <si>
    <t>Pen Model-657</t>
  </si>
  <si>
    <t>Phone Model-664</t>
  </si>
  <si>
    <t>Table Model-579</t>
  </si>
  <si>
    <t>Pen Model-268</t>
  </si>
  <si>
    <t>Monitor Model-975</t>
  </si>
  <si>
    <t>Phone Model-669</t>
  </si>
  <si>
    <t>Bookcase Model-750</t>
  </si>
  <si>
    <t>Stapler Model-997</t>
  </si>
  <si>
    <t>Pen Model-171</t>
  </si>
  <si>
    <t>Monitor Model-330</t>
  </si>
  <si>
    <t>Chair Model-176</t>
  </si>
  <si>
    <t>Monitor Model-197</t>
  </si>
  <si>
    <t>Paper Model-753</t>
  </si>
  <si>
    <t>Chair Model-848</t>
  </si>
  <si>
    <t>Pen Model-697</t>
  </si>
  <si>
    <t>Table Model-448</t>
  </si>
  <si>
    <t>Printer Model-583</t>
  </si>
  <si>
    <t>Printer Model-364</t>
  </si>
  <si>
    <t>Paper Model-866</t>
  </si>
  <si>
    <t>Table Model-423</t>
  </si>
  <si>
    <t>Bookcase Model-102</t>
  </si>
  <si>
    <t>Bookcase Model-921</t>
  </si>
  <si>
    <t>Chair Model-481</t>
  </si>
  <si>
    <t>Bookcase Model-618</t>
  </si>
  <si>
    <t>Phone Model-358</t>
  </si>
  <si>
    <t>Printer Model-780</t>
  </si>
  <si>
    <t>Monitor Model-280</t>
  </si>
  <si>
    <t>Table Model-426</t>
  </si>
  <si>
    <t>Stapler Model-943</t>
  </si>
  <si>
    <t>Phone Model-377</t>
  </si>
  <si>
    <t>Chair Model-806</t>
  </si>
  <si>
    <t>Bookcase Model-663</t>
  </si>
  <si>
    <t>Sofa Model-126</t>
  </si>
  <si>
    <t>Laptop Model-303</t>
  </si>
  <si>
    <t>Monitor Model-133</t>
  </si>
  <si>
    <t>Table Model-255</t>
  </si>
  <si>
    <t>Pen Model-772</t>
  </si>
  <si>
    <t>Laptop Model-829</t>
  </si>
  <si>
    <t>Bookcase Model-574</t>
  </si>
  <si>
    <t>Stapler Model-612</t>
  </si>
  <si>
    <t>Phone Model-364</t>
  </si>
  <si>
    <t>Phone Model-122</t>
  </si>
  <si>
    <t>Laptop Model-197</t>
  </si>
  <si>
    <t>Stapler Model-420</t>
  </si>
  <si>
    <t>Laptop Model-449</t>
  </si>
  <si>
    <t>Chair Model-331</t>
  </si>
  <si>
    <t>Printer Model-653</t>
  </si>
  <si>
    <t>Chair Model-160</t>
  </si>
  <si>
    <t>Monitor Model-153</t>
  </si>
  <si>
    <t>Laptop Model-870</t>
  </si>
  <si>
    <t>Printer Model-519</t>
  </si>
  <si>
    <t>Pen Model-517</t>
  </si>
  <si>
    <t>Printer Model-606</t>
  </si>
  <si>
    <t>Laptop Model-983</t>
  </si>
  <si>
    <t>Printer Model-407</t>
  </si>
  <si>
    <t>Chair Model-651</t>
  </si>
  <si>
    <t>Printer Model-684</t>
  </si>
  <si>
    <t>Laptop Model-486</t>
  </si>
  <si>
    <t>Phone Model-971</t>
  </si>
  <si>
    <t>Stapler Model-780</t>
  </si>
  <si>
    <t>Table Model-651</t>
  </si>
  <si>
    <t>Paper Model-127</t>
  </si>
  <si>
    <t>Table Model-194</t>
  </si>
  <si>
    <t>Monitor Model-144</t>
  </si>
  <si>
    <t>Printer Model-949</t>
  </si>
  <si>
    <t>Bookcase Model-739</t>
  </si>
  <si>
    <t>Stapler Model-753</t>
  </si>
  <si>
    <t>Paper Model-473</t>
  </si>
  <si>
    <t>Printer Model-512</t>
  </si>
  <si>
    <t>Table Model-122</t>
  </si>
  <si>
    <t>Phone Model-911</t>
  </si>
  <si>
    <t>Chair Model-451</t>
  </si>
  <si>
    <t>Printer Model-777</t>
  </si>
  <si>
    <t>Chair Model-739</t>
  </si>
  <si>
    <t>Binder Model-368</t>
  </si>
  <si>
    <t>Laptop Model-583</t>
  </si>
  <si>
    <t>Sofa Model-251</t>
  </si>
  <si>
    <t>Table Model-376</t>
  </si>
  <si>
    <t>Phone Model-410</t>
  </si>
  <si>
    <t>Phone Model-996</t>
  </si>
  <si>
    <t>Phone Model-532</t>
  </si>
  <si>
    <t>Phone Model-929</t>
  </si>
  <si>
    <t>Chair Model-661</t>
  </si>
  <si>
    <t>Chair Model-144</t>
  </si>
  <si>
    <t>Chair Model-935</t>
  </si>
  <si>
    <t>Paper Model-677</t>
  </si>
  <si>
    <t>Sofa Model-322</t>
  </si>
  <si>
    <t>Laptop Model-331</t>
  </si>
  <si>
    <t>Table Model-547</t>
  </si>
  <si>
    <t>Phone Model-676</t>
  </si>
  <si>
    <t>Binder Model-752</t>
  </si>
  <si>
    <t>Printer Model-132</t>
  </si>
  <si>
    <t>Binder Model-531</t>
  </si>
  <si>
    <t>Pen Model-976</t>
  </si>
  <si>
    <t>Stapler Model-860</t>
  </si>
  <si>
    <t>Binder Model-938</t>
  </si>
  <si>
    <t>Chair Model-854</t>
  </si>
  <si>
    <t>Paper Model-158</t>
  </si>
  <si>
    <t>Laptop Model-958</t>
  </si>
  <si>
    <t>Monitor Model-327</t>
  </si>
  <si>
    <t>Stapler Model-840</t>
  </si>
  <si>
    <t>Sofa Model-241</t>
  </si>
  <si>
    <t>Monitor Model-552</t>
  </si>
  <si>
    <t>Printer Model-425</t>
  </si>
  <si>
    <t>Chair Model-624</t>
  </si>
  <si>
    <t>Paper Model-501</t>
  </si>
  <si>
    <t>Binder Model-912</t>
  </si>
  <si>
    <t>Phone Model-685</t>
  </si>
  <si>
    <t>Monitor Model-741</t>
  </si>
  <si>
    <t>Paper Model-184</t>
  </si>
  <si>
    <t>Binder Model-162</t>
  </si>
  <si>
    <t>Laptop Model-726</t>
  </si>
  <si>
    <t>Chair Model-619</t>
  </si>
  <si>
    <t>Stapler Model-869</t>
  </si>
  <si>
    <t>Chair Model-308</t>
  </si>
  <si>
    <t>Binder Model-992</t>
  </si>
  <si>
    <t>Monitor Model-417</t>
  </si>
  <si>
    <t>Stapler Model-883</t>
  </si>
  <si>
    <t>Printer Model-430</t>
  </si>
  <si>
    <t>Bookcase Model-958</t>
  </si>
  <si>
    <t>Bookcase Model-286</t>
  </si>
  <si>
    <t>Chair Model-809</t>
  </si>
  <si>
    <t>Printer Model-508</t>
  </si>
  <si>
    <t>Pen Model-936</t>
  </si>
  <si>
    <t>Monitor Model-124</t>
  </si>
  <si>
    <t>Bookcase Model-938</t>
  </si>
  <si>
    <t>Printer Model-584</t>
  </si>
  <si>
    <t>Sofa Model-457</t>
  </si>
  <si>
    <t>Laptop Model-512</t>
  </si>
  <si>
    <t>Stapler Model-601</t>
  </si>
  <si>
    <t>Laptop Model-106</t>
  </si>
  <si>
    <t>Phone Model-668</t>
  </si>
  <si>
    <t>Chair Model-978</t>
  </si>
  <si>
    <t>Binder Model-758</t>
  </si>
  <si>
    <t>Paper Model-300</t>
  </si>
  <si>
    <t>Phone Model-469</t>
  </si>
  <si>
    <t>Binder Model-249</t>
  </si>
  <si>
    <t>Paper Model-584</t>
  </si>
  <si>
    <t>Pen Model-597</t>
  </si>
  <si>
    <t>Laptop Model-519</t>
  </si>
  <si>
    <t>Binder Model-789</t>
  </si>
  <si>
    <t>Paper Model-871</t>
  </si>
  <si>
    <t>Binder Model-713</t>
  </si>
  <si>
    <t>Printer Model-233</t>
  </si>
  <si>
    <t>Sofa Model-193</t>
  </si>
  <si>
    <t>Stapler Model-941</t>
  </si>
  <si>
    <t>Table Model-599</t>
  </si>
  <si>
    <t>Table Model-974</t>
  </si>
  <si>
    <t>Sofa Model-684</t>
  </si>
  <si>
    <t>Table Model-331</t>
  </si>
  <si>
    <t>Table Model-549</t>
  </si>
  <si>
    <t>Binder Model-635</t>
  </si>
  <si>
    <t>Table Model-235</t>
  </si>
  <si>
    <t>Paper Model-824</t>
  </si>
  <si>
    <t>Printer Model-209</t>
  </si>
  <si>
    <t>Phone Model-745</t>
  </si>
  <si>
    <t>Binder Model-274</t>
  </si>
  <si>
    <t>Printer Model-259</t>
  </si>
  <si>
    <t>Table Model-824</t>
  </si>
  <si>
    <t>Laptop Model-465</t>
  </si>
  <si>
    <t>Stapler Model-220</t>
  </si>
  <si>
    <t>Printer Model-197</t>
  </si>
  <si>
    <t>Bookcase Model-926</t>
  </si>
  <si>
    <t>Phone Model-275</t>
  </si>
  <si>
    <t>Phone Model-622</t>
  </si>
  <si>
    <t>Monitor Model-346</t>
  </si>
  <si>
    <t>Laptop Model-314</t>
  </si>
  <si>
    <t>Bookcase Model-997</t>
  </si>
  <si>
    <t>Binder Model-358</t>
  </si>
  <si>
    <t>Phone Model-926</t>
  </si>
  <si>
    <t>Binder Model-605</t>
  </si>
  <si>
    <t>Binder Model-781</t>
  </si>
  <si>
    <t>Chair Model-457</t>
  </si>
  <si>
    <t>Stapler Model-820</t>
  </si>
  <si>
    <t>Sofa Model-439</t>
  </si>
  <si>
    <t>Laptop Model-976</t>
  </si>
  <si>
    <t>Binder Model-533</t>
  </si>
  <si>
    <t>Table Model-883</t>
  </si>
  <si>
    <t>Laptop Model-194</t>
  </si>
  <si>
    <t>Pen Model-422</t>
  </si>
  <si>
    <t>Binder Model-435</t>
  </si>
  <si>
    <t>Monitor Model-794</t>
  </si>
  <si>
    <t>Table Model-912</t>
  </si>
  <si>
    <t>Chair Model-399</t>
  </si>
  <si>
    <t>Bookcase Model-477</t>
  </si>
  <si>
    <t>Laptop Model-558</t>
  </si>
  <si>
    <t>Stapler Model-394</t>
  </si>
  <si>
    <t>Pen Model-106</t>
  </si>
  <si>
    <t>Table Model-158</t>
  </si>
  <si>
    <t>Printer Model-268</t>
  </si>
  <si>
    <t>Binder Model-127</t>
  </si>
  <si>
    <t>Bookcase Model-569</t>
  </si>
  <si>
    <t>Paper Model-388</t>
  </si>
  <si>
    <t>Phone Model-517</t>
  </si>
  <si>
    <t>Sofa Model-651</t>
  </si>
  <si>
    <t>Pen Model-974</t>
  </si>
  <si>
    <t>Pen Model-199</t>
  </si>
  <si>
    <t>Bookcase Model-180</t>
  </si>
  <si>
    <t>Chair Model-143</t>
  </si>
  <si>
    <t>Pen Model-964</t>
  </si>
  <si>
    <t>Bookcase Model-627</t>
  </si>
  <si>
    <t>Table Model-955</t>
  </si>
  <si>
    <t>Paper Model-192</t>
  </si>
  <si>
    <t>Binder Model-930</t>
  </si>
  <si>
    <t>Phone Model-292</t>
  </si>
  <si>
    <t>Table Model-965</t>
  </si>
  <si>
    <t>Stapler Model-677</t>
  </si>
  <si>
    <t>Printer Model-136</t>
  </si>
  <si>
    <t>Printer Model-474</t>
  </si>
  <si>
    <t>Sofa Model-170</t>
  </si>
  <si>
    <t>Chair Model-638</t>
  </si>
  <si>
    <t>Printer Model-561</t>
  </si>
  <si>
    <t>Sofa Model-989</t>
  </si>
  <si>
    <t>Paper Model-627</t>
  </si>
  <si>
    <t>Binder Model-216</t>
  </si>
  <si>
    <t>Binder Model-478</t>
  </si>
  <si>
    <t>Chair Model-434</t>
  </si>
  <si>
    <t>Sofa Model-877</t>
  </si>
  <si>
    <t>Binder Model-350</t>
  </si>
  <si>
    <t>Paper Model-437</t>
  </si>
  <si>
    <t>Printer Model-129</t>
  </si>
  <si>
    <t>Pen Model-552</t>
  </si>
  <si>
    <t>Bookcase Model-879</t>
  </si>
  <si>
    <t>Stapler Model-894</t>
  </si>
  <si>
    <t>Monitor Model-294</t>
  </si>
  <si>
    <t>Table Model-829</t>
  </si>
  <si>
    <t>Paper Model-250</t>
  </si>
  <si>
    <t>Table Model-860</t>
  </si>
  <si>
    <t>Phone Model-350</t>
  </si>
  <si>
    <t>Pen Model-525</t>
  </si>
  <si>
    <t>Monitor Model-568</t>
  </si>
  <si>
    <t>Monitor Model-296</t>
  </si>
  <si>
    <t>Stapler Model-276</t>
  </si>
  <si>
    <t>Printer Model-298</t>
  </si>
  <si>
    <t>Paper Model-242</t>
  </si>
  <si>
    <t>Phone Model-128</t>
  </si>
  <si>
    <t>Laptop Model-515</t>
  </si>
  <si>
    <t>Monitor Model-991</t>
  </si>
  <si>
    <t>Paper Model-754</t>
  </si>
  <si>
    <t>Stapler Model-208</t>
  </si>
  <si>
    <t>Bookcase Model-580</t>
  </si>
  <si>
    <t>Pen Model-665</t>
  </si>
  <si>
    <t>Stapler Model-335</t>
  </si>
  <si>
    <t>Sofa Model-225</t>
  </si>
  <si>
    <t>Laptop Model-122</t>
  </si>
  <si>
    <t>Pen Model-392</t>
  </si>
  <si>
    <t>Pen Model-819</t>
  </si>
  <si>
    <t>Bookcase Model-411</t>
  </si>
  <si>
    <t>Chair Model-319</t>
  </si>
  <si>
    <t>Pen Model-996</t>
  </si>
  <si>
    <t>Binder Model-315</t>
  </si>
  <si>
    <t>Binder Model-175</t>
  </si>
  <si>
    <t>Binder Model-150</t>
  </si>
  <si>
    <t>Binder Model-921</t>
  </si>
  <si>
    <t>Printer Model-829</t>
  </si>
  <si>
    <t>Sofa Model-221</t>
  </si>
  <si>
    <t>Table Model-669</t>
  </si>
  <si>
    <t>Stapler Model-836</t>
  </si>
  <si>
    <t>Paper Model-199</t>
  </si>
  <si>
    <t>Phone Model-842</t>
  </si>
  <si>
    <t>Pen Model-340</t>
  </si>
  <si>
    <t>Sofa Model-341</t>
  </si>
  <si>
    <t>Printer Model-443</t>
  </si>
  <si>
    <t>Laptop Model-730</t>
  </si>
  <si>
    <t>Table Model-241</t>
  </si>
  <si>
    <t>Paper Model-173</t>
  </si>
  <si>
    <t>Table Model-123</t>
  </si>
  <si>
    <t>Monitor Model-974</t>
  </si>
  <si>
    <t>Binder Model-263</t>
  </si>
  <si>
    <t>Stapler Model-331</t>
  </si>
  <si>
    <t>Phone Model-391</t>
  </si>
  <si>
    <t>Phone Model-580</t>
  </si>
  <si>
    <t>Table Model-835</t>
  </si>
  <si>
    <t>Chair Model-149</t>
  </si>
  <si>
    <t>Printer Model-410</t>
  </si>
  <si>
    <t>Chair Model-741</t>
  </si>
  <si>
    <t>Stapler Model-406</t>
  </si>
  <si>
    <t>Paper Model-424</t>
  </si>
  <si>
    <t>Laptop Model-867</t>
  </si>
  <si>
    <t>Home Office</t>
  </si>
  <si>
    <t>Consumer</t>
  </si>
  <si>
    <t>Corporate</t>
  </si>
  <si>
    <t xml:space="preserve">Profit Margin </t>
  </si>
  <si>
    <t>A. Data Cleaning &amp; Transformation</t>
  </si>
  <si>
    <t>1. Identify and handle missing or duplicate values.</t>
  </si>
  <si>
    <r>
      <t xml:space="preserve">2. Create a new column </t>
    </r>
    <r>
      <rPr>
        <b/>
        <sz val="11"/>
        <color theme="1"/>
        <rFont val="Calibri"/>
        <family val="2"/>
        <scheme val="minor"/>
      </rPr>
      <t>“Profit Margin = Profit / Sales”</t>
    </r>
    <r>
      <rPr>
        <sz val="11"/>
        <color theme="1"/>
        <rFont val="Calibri"/>
        <family val="2"/>
        <scheme val="minor"/>
      </rPr>
      <t>.</t>
    </r>
  </si>
  <si>
    <r>
      <t xml:space="preserve">3. Extract </t>
    </r>
    <r>
      <rPr>
        <b/>
        <sz val="11"/>
        <color theme="1"/>
        <rFont val="Calibri"/>
        <family val="2"/>
        <scheme val="minor"/>
      </rPr>
      <t>Month</t>
    </r>
    <r>
      <rPr>
        <sz val="11"/>
        <color theme="1"/>
        <rFont val="Calibri"/>
        <family val="2"/>
        <scheme val="minor"/>
      </rPr>
      <t xml:space="preserve"> and </t>
    </r>
    <r>
      <rPr>
        <b/>
        <sz val="11"/>
        <color theme="1"/>
        <rFont val="Calibri"/>
        <family val="2"/>
        <scheme val="minor"/>
      </rPr>
      <t>Year</t>
    </r>
    <r>
      <rPr>
        <sz val="11"/>
        <color theme="1"/>
        <rFont val="Calibri"/>
        <family val="2"/>
        <scheme val="minor"/>
      </rPr>
      <t xml:space="preserve"> from the “Order Date”.</t>
    </r>
  </si>
  <si>
    <r>
      <t xml:space="preserve">4. Use Excel formulas to categorize </t>
    </r>
    <r>
      <rPr>
        <b/>
        <sz val="11"/>
        <color theme="1"/>
        <rFont val="Calibri"/>
        <family val="2"/>
        <scheme val="minor"/>
      </rPr>
      <t>Sales Volume</t>
    </r>
    <r>
      <rPr>
        <sz val="11"/>
        <color theme="1"/>
        <rFont val="Calibri"/>
        <family val="2"/>
        <scheme val="minor"/>
      </rPr>
      <t xml:space="preserve"> into:</t>
    </r>
  </si>
  <si>
    <t>Low (&lt;500), Medium (500–1000), High (&gt;1000).</t>
  </si>
  <si>
    <r>
      <t xml:space="preserve">5. Check for outliers using </t>
    </r>
    <r>
      <rPr>
        <b/>
        <sz val="11"/>
        <color theme="1"/>
        <rFont val="Calibri"/>
        <family val="2"/>
        <scheme val="minor"/>
      </rPr>
      <t>IQR or Box Plot</t>
    </r>
    <r>
      <rPr>
        <sz val="11"/>
        <color theme="1"/>
        <rFont val="Calibri"/>
        <family val="2"/>
        <scheme val="minor"/>
      </rPr>
      <t xml:space="preserve"> method in Excel.</t>
    </r>
  </si>
  <si>
    <t>B. Exploratory Data Analysis (EDA)</t>
  </si>
  <si>
    <r>
      <t xml:space="preserve">6. Find total </t>
    </r>
    <r>
      <rPr>
        <b/>
        <sz val="11"/>
        <color theme="1"/>
        <rFont val="Calibri"/>
        <family val="2"/>
        <scheme val="minor"/>
      </rPr>
      <t>Sales</t>
    </r>
    <r>
      <rPr>
        <sz val="11"/>
        <color theme="1"/>
        <rFont val="Calibri"/>
        <family val="2"/>
        <scheme val="minor"/>
      </rPr>
      <t xml:space="preserve">, </t>
    </r>
    <r>
      <rPr>
        <b/>
        <sz val="11"/>
        <color theme="1"/>
        <rFont val="Calibri"/>
        <family val="2"/>
        <scheme val="minor"/>
      </rPr>
      <t>Profit</t>
    </r>
    <r>
      <rPr>
        <sz val="11"/>
        <color theme="1"/>
        <rFont val="Calibri"/>
        <family val="2"/>
        <scheme val="minor"/>
      </rPr>
      <t xml:space="preserve">, and </t>
    </r>
    <r>
      <rPr>
        <b/>
        <sz val="11"/>
        <color theme="1"/>
        <rFont val="Calibri"/>
        <family val="2"/>
        <scheme val="minor"/>
      </rPr>
      <t>Quantity</t>
    </r>
    <r>
      <rPr>
        <sz val="11"/>
        <color theme="1"/>
        <rFont val="Calibri"/>
        <family val="2"/>
        <scheme val="minor"/>
      </rPr>
      <t xml:space="preserve"> by:</t>
    </r>
  </si>
  <si>
    <r>
      <t xml:space="preserve">7. Determine </t>
    </r>
    <r>
      <rPr>
        <b/>
        <sz val="11"/>
        <color theme="1"/>
        <rFont val="Calibri"/>
        <family val="2"/>
        <scheme val="minor"/>
      </rPr>
      <t>Top 5 Profitable Products</t>
    </r>
    <r>
      <rPr>
        <sz val="11"/>
        <color theme="1"/>
        <rFont val="Calibri"/>
        <family val="2"/>
        <scheme val="minor"/>
      </rPr>
      <t xml:space="preserve"> and </t>
    </r>
    <r>
      <rPr>
        <b/>
        <sz val="11"/>
        <color theme="1"/>
        <rFont val="Calibri"/>
        <family val="2"/>
        <scheme val="minor"/>
      </rPr>
      <t>Bottom 5</t>
    </r>
    <r>
      <rPr>
        <sz val="11"/>
        <color theme="1"/>
        <rFont val="Calibri"/>
        <family val="2"/>
        <scheme val="minor"/>
      </rPr>
      <t>.</t>
    </r>
  </si>
  <si>
    <r>
      <t xml:space="preserve">8. Analyze </t>
    </r>
    <r>
      <rPr>
        <b/>
        <sz val="11"/>
        <color theme="1"/>
        <rFont val="Calibri"/>
        <family val="2"/>
        <scheme val="minor"/>
      </rPr>
      <t>Profit Margin by Region</t>
    </r>
    <r>
      <rPr>
        <sz val="11"/>
        <color theme="1"/>
        <rFont val="Calibri"/>
        <family val="2"/>
        <scheme val="minor"/>
      </rPr>
      <t xml:space="preserve"> using Pivot Tables.</t>
    </r>
  </si>
  <si>
    <r>
      <t xml:space="preserve">9. Create a </t>
    </r>
    <r>
      <rPr>
        <b/>
        <sz val="11"/>
        <color theme="1"/>
        <rFont val="Calibri"/>
        <family val="2"/>
        <scheme val="minor"/>
      </rPr>
      <t>correlation heatmap</t>
    </r>
    <r>
      <rPr>
        <sz val="11"/>
        <color theme="1"/>
        <rFont val="Calibri"/>
        <family val="2"/>
        <scheme val="minor"/>
      </rPr>
      <t xml:space="preserve"> using Excel’s Data Analysis Toolpak (Sales, Profit, Discount, Quantity).</t>
    </r>
  </si>
  <si>
    <r>
      <t xml:space="preserve">10. Find which </t>
    </r>
    <r>
      <rPr>
        <b/>
        <sz val="11"/>
        <color theme="1"/>
        <rFont val="Calibri"/>
        <family val="2"/>
        <scheme val="minor"/>
      </rPr>
      <t>month</t>
    </r>
    <r>
      <rPr>
        <sz val="11"/>
        <color theme="1"/>
        <rFont val="Calibri"/>
        <family val="2"/>
        <scheme val="minor"/>
      </rPr>
      <t xml:space="preserve"> has the highest </t>
    </r>
    <r>
      <rPr>
        <b/>
        <sz val="11"/>
        <color theme="1"/>
        <rFont val="Calibri"/>
        <family val="2"/>
        <scheme val="minor"/>
      </rPr>
      <t>average profit margin</t>
    </r>
    <r>
      <rPr>
        <sz val="11"/>
        <color theme="1"/>
        <rFont val="Calibri"/>
        <family val="2"/>
        <scheme val="minor"/>
      </rPr>
      <t>.</t>
    </r>
  </si>
  <si>
    <t>C. Advanced Analysis</t>
  </si>
  <si>
    <r>
      <t xml:space="preserve">Excel’s </t>
    </r>
    <r>
      <rPr>
        <b/>
        <sz val="11"/>
        <color theme="1"/>
        <rFont val="Calibri"/>
        <family val="2"/>
        <scheme val="minor"/>
      </rPr>
      <t>Forecast.ETS</t>
    </r>
    <r>
      <rPr>
        <sz val="11"/>
        <color theme="1"/>
        <rFont val="Calibri"/>
        <family val="2"/>
        <scheme val="minor"/>
      </rPr>
      <t xml:space="preserve"> or </t>
    </r>
    <r>
      <rPr>
        <b/>
        <sz val="11"/>
        <color theme="1"/>
        <rFont val="Calibri"/>
        <family val="2"/>
        <scheme val="minor"/>
      </rPr>
      <t>Trendline regression</t>
    </r>
    <r>
      <rPr>
        <sz val="11"/>
        <color theme="1"/>
        <rFont val="Calibri"/>
        <family val="2"/>
        <scheme val="minor"/>
      </rPr>
      <t>.</t>
    </r>
  </si>
  <si>
    <r>
      <t xml:space="preserve">12. Use </t>
    </r>
    <r>
      <rPr>
        <b/>
        <sz val="11"/>
        <color theme="1"/>
        <rFont val="Calibri"/>
        <family val="2"/>
        <scheme val="minor"/>
      </rPr>
      <t>Pivot Charts</t>
    </r>
    <r>
      <rPr>
        <sz val="11"/>
        <color theme="1"/>
        <rFont val="Calibri"/>
        <family val="2"/>
        <scheme val="minor"/>
      </rPr>
      <t xml:space="preserve"> to analyze:</t>
    </r>
  </si>
  <si>
    <t>Sales trend by month</t>
  </si>
  <si>
    <t>Profit comparison by category</t>
  </si>
  <si>
    <r>
      <t xml:space="preserve">14. Identify </t>
    </r>
    <r>
      <rPr>
        <b/>
        <sz val="11"/>
        <color theme="1"/>
        <rFont val="Calibri"/>
        <family val="2"/>
        <scheme val="minor"/>
      </rPr>
      <t>Top 10% customers</t>
    </r>
    <r>
      <rPr>
        <sz val="11"/>
        <color theme="1"/>
        <rFont val="Calibri"/>
        <family val="2"/>
        <scheme val="minor"/>
      </rPr>
      <t xml:space="preserve"> contributing to total sales (Pareto principle).</t>
    </r>
  </si>
  <si>
    <r>
      <t xml:space="preserve">15. Perform </t>
    </r>
    <r>
      <rPr>
        <b/>
        <sz val="11"/>
        <color theme="1"/>
        <rFont val="Calibri"/>
        <family val="2"/>
        <scheme val="minor"/>
      </rPr>
      <t>“What-If Analysis”</t>
    </r>
    <r>
      <rPr>
        <sz val="11"/>
        <color theme="1"/>
        <rFont val="Calibri"/>
        <family val="2"/>
        <scheme val="minor"/>
      </rPr>
      <t>:</t>
    </r>
  </si>
  <si>
    <t>If discount increases by 5%, how much will profit reduce?</t>
  </si>
  <si>
    <t>D. Dashboard Tasks (Visualization)</t>
  </si>
  <si>
    <r>
      <t xml:space="preserve">16. Create a </t>
    </r>
    <r>
      <rPr>
        <b/>
        <sz val="11"/>
        <color theme="1"/>
        <rFont val="Calibri"/>
        <family val="2"/>
        <scheme val="minor"/>
      </rPr>
      <t>Dynamic Dashboard</t>
    </r>
    <r>
      <rPr>
        <sz val="11"/>
        <color theme="1"/>
        <rFont val="Calibri"/>
        <family val="2"/>
        <scheme val="minor"/>
      </rPr>
      <t xml:space="preserve"> in Excel using:</t>
    </r>
  </si>
  <si>
    <t>Slicers for Region, Category, Customer Type</t>
  </si>
  <si>
    <t>KPIs (Total Sales, Avg Profit, Profit Margin)</t>
  </si>
  <si>
    <t>Line chart (Sales trend)</t>
  </si>
  <si>
    <t>Bar chart (Profit by Category)</t>
  </si>
  <si>
    <t>Pie chart (Sales by Region)</t>
  </si>
  <si>
    <r>
      <t xml:space="preserve">17. Add </t>
    </r>
    <r>
      <rPr>
        <b/>
        <sz val="11"/>
        <color theme="1"/>
        <rFont val="Calibri"/>
        <family val="2"/>
        <scheme val="minor"/>
      </rPr>
      <t>conditional formatting</t>
    </r>
    <r>
      <rPr>
        <sz val="11"/>
        <color theme="1"/>
        <rFont val="Calibri"/>
        <family val="2"/>
        <scheme val="minor"/>
      </rPr>
      <t xml:space="preserve"> for:</t>
    </r>
  </si>
  <si>
    <t>Highlighting negative profits in red.</t>
  </si>
  <si>
    <t>High margin products in green.</t>
  </si>
  <si>
    <t xml:space="preserve">PROJECT THEME: “Sales &amp; Profit Analytics Dashboard for a Retail Company”
</t>
  </si>
  <si>
    <t xml:space="preserve">Month - Year </t>
  </si>
  <si>
    <t xml:space="preserve">Sales Volume </t>
  </si>
  <si>
    <t>IQR</t>
  </si>
  <si>
    <t>Q1</t>
  </si>
  <si>
    <t>Q3</t>
  </si>
  <si>
    <t>FIND LOWERBOND</t>
  </si>
  <si>
    <t>FIND UPPERBOND</t>
  </si>
  <si>
    <t>Sum of Quantity</t>
  </si>
  <si>
    <t>Sum of Sales</t>
  </si>
  <si>
    <t>Determine Top 5 Profitable Products</t>
  </si>
  <si>
    <t xml:space="preserve"> Bottom 5</t>
  </si>
  <si>
    <t xml:space="preserve"> Analyze Profit Margin by Region using Pivot Tables.</t>
  </si>
  <si>
    <t>Row Labels</t>
  </si>
  <si>
    <t>Grand Total</t>
  </si>
  <si>
    <t>Sum of Profit</t>
  </si>
  <si>
    <t xml:space="preserve"> Create a correlation heatmap using Excel’s Data Analysis Toolpak (Sales, Profit, Discount, Quantity).</t>
  </si>
  <si>
    <t xml:space="preserve"> Find which month has the highest average profit margin.</t>
  </si>
  <si>
    <t>Month</t>
  </si>
  <si>
    <t>April</t>
  </si>
  <si>
    <t>August</t>
  </si>
  <si>
    <t>December</t>
  </si>
  <si>
    <t>February</t>
  </si>
  <si>
    <t>January</t>
  </si>
  <si>
    <t>July</t>
  </si>
  <si>
    <t>June</t>
  </si>
  <si>
    <t>March</t>
  </si>
  <si>
    <t>May</t>
  </si>
  <si>
    <t>November</t>
  </si>
  <si>
    <t>October</t>
  </si>
  <si>
    <t>September</t>
  </si>
  <si>
    <t>Average of Profit</t>
  </si>
  <si>
    <t>Find which customer segment gives the highest profit on average.</t>
  </si>
  <si>
    <t>Extra Qustion</t>
  </si>
  <si>
    <t>Find the average profit for each product category.</t>
  </si>
  <si>
    <t>Find the month with the highest total sales.</t>
  </si>
  <si>
    <t>Identify the region with the highest average discount.</t>
  </si>
  <si>
    <t>Find top-performing category based on average profit margin.</t>
  </si>
  <si>
    <t>Month-wise sales classification</t>
  </si>
  <si>
    <t>Create a reusable LAMBDA function for average profit per group</t>
  </si>
  <si>
    <t xml:space="preserve">Sale Growth </t>
  </si>
  <si>
    <t xml:space="preserve">Profit Growth </t>
  </si>
  <si>
    <t>Dynamic Message Based on Sales Value
Use LET to define sales and return: Only Sales in West Region
“Top Order” if Sales &gt; 800
“Moderate” if 400–800
“Low Order” otherwise</t>
  </si>
  <si>
    <t>14. Identify Top 10% Product contributing to total sales (Pareto principle).</t>
  </si>
  <si>
    <t>Cost</t>
  </si>
  <si>
    <t>Sales &amp; Profit Analytics Dashboard</t>
  </si>
  <si>
    <t>Count of Region</t>
  </si>
  <si>
    <t>Sum of Cost</t>
  </si>
  <si>
    <t>Average of Profit2</t>
  </si>
  <si>
    <t>Column Labels</t>
  </si>
  <si>
    <t>Total Sum of Sales</t>
  </si>
  <si>
    <t>Total Sum of Cost</t>
  </si>
  <si>
    <t>(blank)</t>
  </si>
  <si>
    <t>12. Use Pivot Charts to analyze:</t>
  </si>
  <si>
    <r>
      <t xml:space="preserve">13. Calculate </t>
    </r>
    <r>
      <rPr>
        <b/>
        <sz val="11"/>
        <color theme="1"/>
        <rFont val="Calibri"/>
        <family val="2"/>
        <scheme val="minor"/>
      </rPr>
      <t>Month-over-Month  (MoM) Growth %</t>
    </r>
    <r>
      <rPr>
        <sz val="11"/>
        <color theme="1"/>
        <rFont val="Calibri"/>
        <family val="2"/>
        <scheme val="minor"/>
      </rPr>
      <t xml:space="preserve"> in Sales and Profit.</t>
    </r>
  </si>
  <si>
    <t>13. Calculate Month-over-Month  (MoM) Growth % in Sales and Profit</t>
  </si>
  <si>
    <r>
      <t xml:space="preserve">11. Build a </t>
    </r>
    <r>
      <rPr>
        <b/>
        <sz val="11"/>
        <color rgb="FFFF0000"/>
        <rFont val="Calibri"/>
        <family val="2"/>
        <scheme val="minor"/>
      </rPr>
      <t>Forecast</t>
    </r>
    <r>
      <rPr>
        <sz val="11"/>
        <color rgb="FFFF0000"/>
        <rFont val="Calibri"/>
        <family val="2"/>
        <scheme val="minor"/>
      </rPr>
      <t xml:space="preserve"> of next 3 months’ sales using: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</si>
</sst>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1" x14ac:knownFonts="1">
    <font>
      <sz val="11"/>
      <color theme="1"/>
      <name val="Calibri"/>
      <family val="2"/>
      <scheme val="minor"/>
    </font>
    <font>
      <b/>
      <sz val="11"/>
      <color theme="1"/>
      <name val="Calibri"/>
      <family val="2"/>
      <scheme val="minor"/>
    </font>
    <font>
      <b/>
      <sz val="13.5"/>
      <color theme="1"/>
      <name val="Calibri"/>
      <family val="2"/>
      <scheme val="minor"/>
    </font>
    <font>
      <b/>
      <sz val="16"/>
      <color rgb="FFFF0000"/>
      <name val="Calibri"/>
      <family val="2"/>
      <scheme val="minor"/>
    </font>
    <font>
      <i/>
      <sz val="11"/>
      <color theme="1"/>
      <name val="Calibri"/>
      <family val="2"/>
      <scheme val="minor"/>
    </font>
    <font>
      <sz val="8"/>
      <name val="Calibri"/>
      <family val="2"/>
      <scheme val="minor"/>
    </font>
    <font>
      <sz val="9"/>
      <color theme="1"/>
      <name val="Calibri"/>
      <family val="2"/>
      <scheme val="minor"/>
    </font>
    <font>
      <sz val="20"/>
      <color theme="1"/>
      <name val="Calibri"/>
      <family val="2"/>
      <scheme val="minor"/>
    </font>
    <font>
      <sz val="11"/>
      <color rgb="FFFF0000"/>
      <name val="Calibri"/>
      <family val="2"/>
      <scheme val="minor"/>
    </font>
    <font>
      <sz val="14"/>
      <color theme="1"/>
      <name val="Calibri"/>
      <family val="2"/>
      <scheme val="minor"/>
    </font>
    <font>
      <b/>
      <sz val="11"/>
      <color rgb="FFFF0000"/>
      <name val="Calibri"/>
      <family val="2"/>
      <scheme val="minor"/>
    </font>
  </fonts>
  <fills count="9">
    <fill>
      <patternFill patternType="none"/>
    </fill>
    <fill>
      <patternFill patternType="gray125"/>
    </fill>
    <fill>
      <patternFill patternType="solid">
        <fgColor rgb="FF92D050"/>
        <bgColor indexed="64"/>
      </patternFill>
    </fill>
    <fill>
      <patternFill patternType="solid">
        <fgColor theme="0"/>
        <bgColor indexed="64"/>
      </patternFill>
    </fill>
    <fill>
      <patternFill patternType="solid">
        <fgColor theme="6" tint="0.59999389629810485"/>
        <bgColor theme="4" tint="0.79998168889431442"/>
      </patternFill>
    </fill>
    <fill>
      <patternFill patternType="solid">
        <fgColor theme="6" tint="0.79998168889431442"/>
        <bgColor indexed="64"/>
      </patternFill>
    </fill>
    <fill>
      <patternFill patternType="solid">
        <fgColor rgb="FF00B0F0"/>
        <bgColor indexed="64"/>
      </patternFill>
    </fill>
    <fill>
      <patternFill patternType="solid">
        <fgColor theme="4" tint="0.79998168889431442"/>
        <bgColor indexed="64"/>
      </patternFill>
    </fill>
    <fill>
      <patternFill patternType="solid">
        <fgColor theme="4" tint="-0.249977111117893"/>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bottom style="thin">
        <color theme="4" tint="0.39997558519241921"/>
      </bottom>
      <diagonal/>
    </border>
    <border>
      <left/>
      <right/>
      <top/>
      <bottom style="medium">
        <color indexed="64"/>
      </bottom>
      <diagonal/>
    </border>
    <border>
      <left/>
      <right/>
      <top style="thin">
        <color indexed="64"/>
      </top>
      <bottom style="thin">
        <color indexed="64"/>
      </bottom>
      <diagonal/>
    </border>
    <border>
      <left/>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63">
    <xf numFmtId="0" fontId="0" fillId="0" borderId="0" xfId="0"/>
    <xf numFmtId="0" fontId="1" fillId="0" borderId="1" xfId="0" applyFont="1" applyBorder="1" applyAlignment="1">
      <alignment vertical="top"/>
    </xf>
    <xf numFmtId="164" fontId="0" fillId="0" borderId="0" xfId="0" applyNumberFormat="1"/>
    <xf numFmtId="0" fontId="1" fillId="2" borderId="1" xfId="0" applyFont="1" applyFill="1" applyBorder="1" applyAlignment="1">
      <alignment vertical="top"/>
    </xf>
    <xf numFmtId="0" fontId="0" fillId="3" borderId="0" xfId="0" applyFill="1"/>
    <xf numFmtId="164" fontId="1" fillId="2" borderId="1" xfId="0" applyNumberFormat="1" applyFont="1" applyFill="1" applyBorder="1" applyAlignment="1">
      <alignment vertical="top"/>
    </xf>
    <xf numFmtId="0" fontId="0" fillId="2" borderId="1" xfId="0" applyFill="1" applyBorder="1"/>
    <xf numFmtId="164" fontId="1" fillId="0" borderId="2" xfId="0" applyNumberFormat="1" applyFont="1" applyBorder="1" applyAlignment="1">
      <alignment vertical="top"/>
    </xf>
    <xf numFmtId="0" fontId="1" fillId="0" borderId="3" xfId="0" applyFont="1" applyBorder="1" applyAlignment="1">
      <alignment vertical="top"/>
    </xf>
    <xf numFmtId="164" fontId="0" fillId="2" borderId="1" xfId="0" applyNumberFormat="1" applyFill="1" applyBorder="1"/>
    <xf numFmtId="0" fontId="0" fillId="2" borderId="0" xfId="0" applyFill="1" applyAlignment="1">
      <alignment horizontal="center"/>
    </xf>
    <xf numFmtId="0" fontId="0" fillId="0" borderId="0" xfId="0" pivotButton="1"/>
    <xf numFmtId="0" fontId="0" fillId="0" borderId="0" xfId="0" applyAlignment="1">
      <alignment horizontal="left"/>
    </xf>
    <xf numFmtId="0" fontId="1" fillId="4" borderId="4" xfId="0" applyFont="1" applyFill="1" applyBorder="1"/>
    <xf numFmtId="0" fontId="0" fillId="0" borderId="5" xfId="0" applyBorder="1"/>
    <xf numFmtId="0" fontId="4" fillId="0" borderId="7" xfId="0" applyFont="1" applyBorder="1" applyAlignment="1">
      <alignment horizontal="center"/>
    </xf>
    <xf numFmtId="0" fontId="0" fillId="2" borderId="0" xfId="0" applyFill="1"/>
    <xf numFmtId="164" fontId="1" fillId="0" borderId="6" xfId="0" applyNumberFormat="1" applyFont="1" applyBorder="1" applyAlignment="1">
      <alignment vertical="top"/>
    </xf>
    <xf numFmtId="2" fontId="1" fillId="0" borderId="1" xfId="0" applyNumberFormat="1" applyFont="1" applyBorder="1" applyAlignment="1">
      <alignment vertical="top"/>
    </xf>
    <xf numFmtId="2" fontId="0" fillId="0" borderId="0" xfId="0" applyNumberFormat="1"/>
    <xf numFmtId="14" fontId="0" fillId="0" borderId="0" xfId="0" applyNumberFormat="1"/>
    <xf numFmtId="14" fontId="0" fillId="0" borderId="0" xfId="0" applyNumberFormat="1" applyAlignment="1">
      <alignment horizontal="left"/>
    </xf>
    <xf numFmtId="0" fontId="2" fillId="0" borderId="8" xfId="0" applyFont="1" applyBorder="1" applyAlignment="1">
      <alignment vertical="center"/>
    </xf>
    <xf numFmtId="0" fontId="0" fillId="0" borderId="9" xfId="0" applyBorder="1" applyAlignment="1">
      <alignment horizontal="left" vertical="center" indent="1"/>
    </xf>
    <xf numFmtId="0" fontId="0" fillId="0" borderId="9" xfId="0" applyBorder="1" applyAlignment="1">
      <alignment horizontal="left" vertical="center" indent="2"/>
    </xf>
    <xf numFmtId="0" fontId="0" fillId="0" borderId="10" xfId="0" applyBorder="1"/>
    <xf numFmtId="0" fontId="2" fillId="0" borderId="11" xfId="0" applyFont="1" applyBorder="1" applyAlignment="1">
      <alignment vertical="center"/>
    </xf>
    <xf numFmtId="0" fontId="0" fillId="0" borderId="12" xfId="0" applyBorder="1"/>
    <xf numFmtId="0" fontId="0" fillId="0" borderId="13" xfId="0" applyBorder="1"/>
    <xf numFmtId="0" fontId="0" fillId="0" borderId="14" xfId="0" applyBorder="1" applyAlignment="1">
      <alignment horizontal="left" vertical="center" indent="1"/>
    </xf>
    <xf numFmtId="0" fontId="0" fillId="0" borderId="15" xfId="0" applyBorder="1"/>
    <xf numFmtId="0" fontId="0" fillId="0" borderId="14" xfId="0" applyBorder="1" applyAlignment="1">
      <alignment horizontal="left" vertical="center" indent="2"/>
    </xf>
    <xf numFmtId="0" fontId="0" fillId="0" borderId="14" xfId="0" applyBorder="1"/>
    <xf numFmtId="0" fontId="0" fillId="0" borderId="16" xfId="0" applyBorder="1"/>
    <xf numFmtId="0" fontId="0" fillId="0" borderId="17" xfId="0" applyBorder="1"/>
    <xf numFmtId="0" fontId="0" fillId="0" borderId="18" xfId="0" applyBorder="1"/>
    <xf numFmtId="0" fontId="0" fillId="5" borderId="0" xfId="0" applyFill="1"/>
    <xf numFmtId="49" fontId="1" fillId="0" borderId="1" xfId="0" applyNumberFormat="1" applyFont="1" applyBorder="1" applyAlignment="1">
      <alignment vertical="top"/>
    </xf>
    <xf numFmtId="49" fontId="0" fillId="0" borderId="0" xfId="0" applyNumberFormat="1"/>
    <xf numFmtId="49" fontId="1" fillId="0" borderId="3" xfId="0" applyNumberFormat="1" applyFont="1" applyBorder="1" applyAlignment="1">
      <alignment vertical="top"/>
    </xf>
    <xf numFmtId="0" fontId="0" fillId="0" borderId="8" xfId="0" applyBorder="1"/>
    <xf numFmtId="0" fontId="0" fillId="0" borderId="9" xfId="0" applyBorder="1"/>
    <xf numFmtId="0" fontId="2" fillId="0" borderId="9" xfId="0" applyFont="1" applyBorder="1" applyAlignment="1">
      <alignment vertical="center"/>
    </xf>
    <xf numFmtId="0" fontId="0" fillId="6" borderId="0" xfId="0" applyFill="1"/>
    <xf numFmtId="0" fontId="0" fillId="8" borderId="0" xfId="0" applyFill="1"/>
    <xf numFmtId="0" fontId="0" fillId="8" borderId="15" xfId="0" applyFill="1" applyBorder="1"/>
    <xf numFmtId="0" fontId="3" fillId="0" borderId="0" xfId="0" applyFont="1" applyAlignment="1">
      <alignment horizontal="center" wrapText="1"/>
    </xf>
    <xf numFmtId="0" fontId="0" fillId="2" borderId="0" xfId="0" applyFill="1" applyAlignment="1">
      <alignment horizontal="center"/>
    </xf>
    <xf numFmtId="0" fontId="0" fillId="2" borderId="5" xfId="0" applyFill="1" applyBorder="1" applyAlignment="1">
      <alignment horizontal="center"/>
    </xf>
    <xf numFmtId="0" fontId="6" fillId="2" borderId="0" xfId="0" applyFont="1" applyFill="1" applyAlignment="1">
      <alignment horizontal="center" wrapText="1"/>
    </xf>
    <xf numFmtId="0" fontId="0" fillId="2" borderId="0" xfId="0" applyFill="1" applyAlignment="1">
      <alignment horizontal="center" wrapText="1"/>
    </xf>
    <xf numFmtId="0" fontId="7" fillId="7" borderId="0" xfId="0" applyFont="1" applyFill="1" applyAlignment="1">
      <alignment horizontal="center" vertical="center"/>
    </xf>
    <xf numFmtId="0" fontId="0" fillId="0" borderId="0" xfId="0" applyNumberFormat="1"/>
    <xf numFmtId="0" fontId="0" fillId="0" borderId="0" xfId="0" applyFont="1"/>
    <xf numFmtId="0" fontId="0" fillId="0" borderId="0" xfId="0" applyAlignment="1">
      <alignment horizontal="center"/>
    </xf>
    <xf numFmtId="2" fontId="0" fillId="0" borderId="0" xfId="0" applyNumberFormat="1" applyAlignment="1">
      <alignment horizontal="center"/>
    </xf>
    <xf numFmtId="0" fontId="0" fillId="0" borderId="11" xfId="0" applyBorder="1"/>
    <xf numFmtId="0" fontId="2" fillId="0" borderId="12" xfId="0" applyFont="1" applyBorder="1" applyAlignment="1">
      <alignment vertical="center"/>
    </xf>
    <xf numFmtId="0" fontId="0" fillId="0" borderId="0" xfId="0" applyBorder="1" applyAlignment="1">
      <alignment horizontal="left" vertical="center" indent="1"/>
    </xf>
    <xf numFmtId="0" fontId="0" fillId="0" borderId="0" xfId="0" applyBorder="1"/>
    <xf numFmtId="0" fontId="9" fillId="0" borderId="0" xfId="0" applyFont="1" applyAlignment="1">
      <alignment horizontal="center" vertical="center"/>
    </xf>
    <xf numFmtId="0" fontId="9" fillId="0" borderId="0" xfId="0" applyFont="1" applyAlignment="1">
      <alignment horizontal="center"/>
    </xf>
    <xf numFmtId="0" fontId="8" fillId="0" borderId="9" xfId="0" applyFont="1" applyBorder="1" applyAlignment="1">
      <alignment horizontal="left" vertical="center" indent="1"/>
    </xf>
  </cellXfs>
  <cellStyles count="1">
    <cellStyle name="Normal" xfId="0" builtinId="0"/>
  </cellStyles>
  <dxfs count="18">
    <dxf>
      <fill>
        <patternFill>
          <bgColor rgb="FFFF0000"/>
        </patternFill>
      </fill>
    </dxf>
    <dxf>
      <fill>
        <patternFill patternType="darkGray">
          <fgColor rgb="FF66FF33"/>
          <bgColor rgb="FF00B050"/>
        </patternFill>
      </fill>
    </dxf>
    <dxf>
      <font>
        <color rgb="FF00B050"/>
      </font>
      <fill>
        <patternFill>
          <bgColor theme="0"/>
        </patternFill>
      </fill>
    </dxf>
    <dxf>
      <font>
        <color rgb="FFFF0000"/>
      </font>
      <fill>
        <patternFill>
          <bgColor theme="0"/>
        </patternFill>
      </fill>
    </dxf>
    <dxf>
      <font>
        <b val="0"/>
        <i val="0"/>
        <color theme="5"/>
      </font>
    </dxf>
    <dxf>
      <font>
        <b val="0"/>
        <i val="0"/>
        <color theme="5"/>
      </font>
    </dxf>
    <dxf>
      <fill>
        <patternFill>
          <fgColor rgb="FF66FF33"/>
          <bgColor rgb="FF00B050"/>
        </patternFill>
      </fill>
    </dxf>
    <dxf>
      <fill>
        <patternFill>
          <bgColor rgb="FFFF0000"/>
        </patternFill>
      </fill>
    </dxf>
    <dxf>
      <font>
        <color rgb="FF00B050"/>
      </font>
      <fill>
        <patternFill>
          <bgColor theme="0"/>
        </patternFill>
      </fill>
    </dxf>
    <dxf>
      <font>
        <color rgb="FFFF0000"/>
      </font>
      <fill>
        <patternFill>
          <bgColor theme="0"/>
        </patternFill>
      </fill>
    </dxf>
    <dxf>
      <fill>
        <patternFill>
          <bgColor rgb="FF00B050"/>
        </patternFill>
      </fill>
    </dxf>
    <dxf>
      <fill>
        <patternFill>
          <bgColor rgb="FFFF0000"/>
        </patternFill>
      </fill>
    </dxf>
    <dxf>
      <font>
        <color rgb="FF00B050"/>
      </font>
      <fill>
        <patternFill>
          <bgColor theme="0"/>
        </patternFill>
      </fill>
    </dxf>
    <dxf>
      <font>
        <color rgb="FFFF0000"/>
      </font>
      <fill>
        <patternFill>
          <bgColor theme="0"/>
        </patternFill>
      </fill>
    </dxf>
    <dxf>
      <font>
        <color rgb="FF00B050"/>
      </font>
      <fill>
        <patternFill>
          <bgColor theme="0"/>
        </patternFill>
      </fill>
    </dxf>
    <dxf>
      <font>
        <color rgb="FFFF0000"/>
      </font>
      <fill>
        <patternFill>
          <bgColor theme="0"/>
        </patternFill>
      </fill>
    </dxf>
    <dxf>
      <fill>
        <patternFill patternType="solid">
          <bgColor rgb="FF92D050"/>
        </patternFill>
      </fill>
    </dxf>
    <dxf>
      <fill>
        <patternFill patternType="solid">
          <bgColor rgb="FF92D050"/>
        </patternFill>
      </fill>
    </dxf>
  </dxfs>
  <tableStyles count="0" defaultTableStyle="TableStyleMedium9" defaultPivotStyle="PivotStyleLight16"/>
  <colors>
    <mruColors>
      <color rgb="FF66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'Advanced Analysis'!$E$26:$E$27</c:f>
              <c:strCache>
                <c:ptCount val="2"/>
                <c:pt idx="0">
                  <c:v>Sale Growth </c:v>
                </c:pt>
              </c:strCache>
            </c:strRef>
          </c:tx>
          <c:spPr>
            <a:solidFill>
              <a:schemeClr val="accent1"/>
            </a:solidFill>
            <a:ln>
              <a:noFill/>
            </a:ln>
            <a:effectLst/>
          </c:spPr>
          <c:invertIfNegative val="0"/>
          <c:cat>
            <c:strRef>
              <c:f>'Advanced Analysis'!$B$28:$B$38</c:f>
              <c:strCache>
                <c:ptCount val="11"/>
                <c:pt idx="0">
                  <c:v>February</c:v>
                </c:pt>
                <c:pt idx="1">
                  <c:v>March</c:v>
                </c:pt>
                <c:pt idx="2">
                  <c:v>April</c:v>
                </c:pt>
                <c:pt idx="3">
                  <c:v>May</c:v>
                </c:pt>
                <c:pt idx="4">
                  <c:v>June</c:v>
                </c:pt>
                <c:pt idx="5">
                  <c:v>July</c:v>
                </c:pt>
                <c:pt idx="6">
                  <c:v>August</c:v>
                </c:pt>
                <c:pt idx="7">
                  <c:v>September</c:v>
                </c:pt>
                <c:pt idx="8">
                  <c:v>October</c:v>
                </c:pt>
                <c:pt idx="9">
                  <c:v>November</c:v>
                </c:pt>
                <c:pt idx="10">
                  <c:v>December</c:v>
                </c:pt>
              </c:strCache>
            </c:strRef>
          </c:cat>
          <c:val>
            <c:numRef>
              <c:f>'Advanced Analysis'!$E$28:$E$38</c:f>
              <c:numCache>
                <c:formatCode>General</c:formatCode>
                <c:ptCount val="11"/>
                <c:pt idx="0">
                  <c:v>-0.22603915679783385</c:v>
                </c:pt>
                <c:pt idx="1">
                  <c:v>0.5397357301140554</c:v>
                </c:pt>
                <c:pt idx="2">
                  <c:v>-0.32921146943140273</c:v>
                </c:pt>
                <c:pt idx="3">
                  <c:v>-1.4721172661614519E-2</c:v>
                </c:pt>
                <c:pt idx="4">
                  <c:v>0.22562538023730838</c:v>
                </c:pt>
                <c:pt idx="5">
                  <c:v>0.16925060062116234</c:v>
                </c:pt>
                <c:pt idx="6">
                  <c:v>-0.22181177958497938</c:v>
                </c:pt>
                <c:pt idx="7">
                  <c:v>6.7140502101845009E-3</c:v>
                </c:pt>
                <c:pt idx="8">
                  <c:v>0.36658972177099669</c:v>
                </c:pt>
                <c:pt idx="9">
                  <c:v>-0.31005192976113793</c:v>
                </c:pt>
                <c:pt idx="10">
                  <c:v>7.0605578976554326E-2</c:v>
                </c:pt>
              </c:numCache>
            </c:numRef>
          </c:val>
          <c:extLst>
            <c:ext xmlns:c16="http://schemas.microsoft.com/office/drawing/2014/chart" uri="{C3380CC4-5D6E-409C-BE32-E72D297353CC}">
              <c16:uniqueId val="{00000000-199D-43A5-A51D-00756906CAB1}"/>
            </c:ext>
          </c:extLst>
        </c:ser>
        <c:ser>
          <c:idx val="1"/>
          <c:order val="1"/>
          <c:tx>
            <c:strRef>
              <c:f>'Advanced Analysis'!$F$26:$F$27</c:f>
              <c:strCache>
                <c:ptCount val="2"/>
                <c:pt idx="0">
                  <c:v>Profit Growth </c:v>
                </c:pt>
              </c:strCache>
            </c:strRef>
          </c:tx>
          <c:spPr>
            <a:solidFill>
              <a:schemeClr val="accent2"/>
            </a:solidFill>
            <a:ln>
              <a:noFill/>
            </a:ln>
            <a:effectLst/>
          </c:spPr>
          <c:invertIfNegative val="0"/>
          <c:cat>
            <c:strRef>
              <c:f>'Advanced Analysis'!$B$28:$B$38</c:f>
              <c:strCache>
                <c:ptCount val="11"/>
                <c:pt idx="0">
                  <c:v>February</c:v>
                </c:pt>
                <c:pt idx="1">
                  <c:v>March</c:v>
                </c:pt>
                <c:pt idx="2">
                  <c:v>April</c:v>
                </c:pt>
                <c:pt idx="3">
                  <c:v>May</c:v>
                </c:pt>
                <c:pt idx="4">
                  <c:v>June</c:v>
                </c:pt>
                <c:pt idx="5">
                  <c:v>July</c:v>
                </c:pt>
                <c:pt idx="6">
                  <c:v>August</c:v>
                </c:pt>
                <c:pt idx="7">
                  <c:v>September</c:v>
                </c:pt>
                <c:pt idx="8">
                  <c:v>October</c:v>
                </c:pt>
                <c:pt idx="9">
                  <c:v>November</c:v>
                </c:pt>
                <c:pt idx="10">
                  <c:v>December</c:v>
                </c:pt>
              </c:strCache>
            </c:strRef>
          </c:cat>
          <c:val>
            <c:numRef>
              <c:f>'Advanced Analysis'!$F$28:$F$38</c:f>
              <c:numCache>
                <c:formatCode>General</c:formatCode>
                <c:ptCount val="11"/>
                <c:pt idx="0">
                  <c:v>-0.28129697229976391</c:v>
                </c:pt>
                <c:pt idx="1">
                  <c:v>0.46443253546535163</c:v>
                </c:pt>
                <c:pt idx="2">
                  <c:v>-0.26452745890525936</c:v>
                </c:pt>
                <c:pt idx="3">
                  <c:v>-0.22851193527771715</c:v>
                </c:pt>
                <c:pt idx="4">
                  <c:v>3.3908488045554471E-3</c:v>
                </c:pt>
                <c:pt idx="5">
                  <c:v>0.23284222558901102</c:v>
                </c:pt>
                <c:pt idx="6">
                  <c:v>0.41168570745258226</c:v>
                </c:pt>
                <c:pt idx="7">
                  <c:v>-0.19225907343454784</c:v>
                </c:pt>
                <c:pt idx="8">
                  <c:v>-0.38161724371591726</c:v>
                </c:pt>
                <c:pt idx="9">
                  <c:v>0.14094957812182068</c:v>
                </c:pt>
                <c:pt idx="10">
                  <c:v>0.32479476801353735</c:v>
                </c:pt>
              </c:numCache>
            </c:numRef>
          </c:val>
          <c:extLst>
            <c:ext xmlns:c16="http://schemas.microsoft.com/office/drawing/2014/chart" uri="{C3380CC4-5D6E-409C-BE32-E72D297353CC}">
              <c16:uniqueId val="{00000001-199D-43A5-A51D-00756906CAB1}"/>
            </c:ext>
          </c:extLst>
        </c:ser>
        <c:dLbls>
          <c:showLegendKey val="0"/>
          <c:showVal val="0"/>
          <c:showCatName val="0"/>
          <c:showSerName val="0"/>
          <c:showPercent val="0"/>
          <c:showBubbleSize val="0"/>
        </c:dLbls>
        <c:gapWidth val="219"/>
        <c:overlap val="-27"/>
        <c:axId val="1453898848"/>
        <c:axId val="1453899328"/>
      </c:barChart>
      <c:catAx>
        <c:axId val="1453898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899328"/>
        <c:crosses val="autoZero"/>
        <c:auto val="1"/>
        <c:lblAlgn val="ctr"/>
        <c:lblOffset val="100"/>
        <c:noMultiLvlLbl val="0"/>
      </c:catAx>
      <c:valAx>
        <c:axId val="1453899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898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[Retail_Sales_Analytics_Project (version 2).xlsx]backend !PivotTable2</c:name>
    <c:fmtId val="16"/>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IN"/>
              <a:t>Month wise Sales &amp; Quantity</a:t>
            </a:r>
          </a:p>
        </c:rich>
      </c:tx>
      <c:layout>
        <c:manualLayout>
          <c:xMode val="edge"/>
          <c:yMode val="edge"/>
          <c:x val="0.28956257617674941"/>
          <c:y val="4.0475487722438558E-2"/>
        </c:manualLayout>
      </c:layout>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alpha val="70000"/>
            </a:schemeClr>
          </a:solidFill>
          <a:ln>
            <a:noFill/>
          </a:ln>
          <a:effectLst/>
        </c:spPr>
        <c:marker>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alpha val="70000"/>
            </a:schemeClr>
          </a:solidFill>
          <a:ln>
            <a:noFill/>
          </a:ln>
          <a:effectLst/>
        </c:spPr>
        <c:marker>
          <c:spPr>
            <a:solidFill>
              <a:schemeClr val="accent3">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alpha val="7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alpha val="7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alpha val="7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alpha val="7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alpha val="7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alpha val="7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alpha val="7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alpha val="7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70000"/>
            </a:schemeClr>
          </a:solidFill>
          <a:ln>
            <a:noFill/>
          </a:ln>
          <a:effectLst/>
        </c:spPr>
        <c:dLbl>
          <c:idx val="0"/>
          <c:layout>
            <c:manualLayout>
              <c:x val="-6.1425061425062176E-3"/>
              <c:y val="-4.030632809351068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70000"/>
            </a:schemeClr>
          </a:solidFill>
          <a:ln>
            <a:noFill/>
          </a:ln>
          <a:effectLst/>
        </c:spPr>
        <c:dLbl>
          <c:idx val="0"/>
          <c:layout>
            <c:manualLayout>
              <c:x val="-6.1425061425061421E-3"/>
              <c:y val="-7.65820233776703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70000"/>
            </a:schemeClr>
          </a:solidFill>
          <a:ln>
            <a:noFill/>
          </a:ln>
          <a:effectLst/>
        </c:spPr>
        <c:dLbl>
          <c:idx val="0"/>
          <c:layout>
            <c:manualLayout>
              <c:x val="5.1187551187551188E-2"/>
              <c:y val="-2.4183796856106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'backend '!$B$3</c:f>
              <c:strCache>
                <c:ptCount val="1"/>
                <c:pt idx="0">
                  <c:v>Sum of Sales</c:v>
                </c:pt>
              </c:strCache>
            </c:strRef>
          </c:tx>
          <c:spPr>
            <a:solidFill>
              <a:schemeClr val="accent1">
                <a:alpha val="70000"/>
              </a:schemeClr>
            </a:solidFill>
            <a:ln>
              <a:noFill/>
            </a:ln>
            <a:effectLst/>
          </c:spPr>
          <c:invertIfNegative val="0"/>
          <c:dPt>
            <c:idx val="7"/>
            <c:invertIfNegative val="0"/>
            <c:bubble3D val="0"/>
            <c:spPr>
              <a:solidFill>
                <a:schemeClr val="accent1">
                  <a:alpha val="70000"/>
                </a:schemeClr>
              </a:solidFill>
              <a:ln>
                <a:noFill/>
              </a:ln>
              <a:effectLst/>
            </c:spPr>
            <c:extLst>
              <c:ext xmlns:c16="http://schemas.microsoft.com/office/drawing/2014/chart" uri="{C3380CC4-5D6E-409C-BE32-E72D297353CC}">
                <c16:uniqueId val="{00000000-EB09-4E69-B0DC-F0DC62E16C35}"/>
              </c:ext>
            </c:extLst>
          </c:dPt>
          <c:dPt>
            <c:idx val="8"/>
            <c:invertIfNegative val="0"/>
            <c:bubble3D val="0"/>
            <c:spPr>
              <a:solidFill>
                <a:schemeClr val="accent1">
                  <a:alpha val="70000"/>
                </a:schemeClr>
              </a:solidFill>
              <a:ln>
                <a:noFill/>
              </a:ln>
              <a:effectLst/>
            </c:spPr>
            <c:extLst>
              <c:ext xmlns:c16="http://schemas.microsoft.com/office/drawing/2014/chart" uri="{C3380CC4-5D6E-409C-BE32-E72D297353CC}">
                <c16:uniqueId val="{00000001-EB09-4E69-B0DC-F0DC62E16C35}"/>
              </c:ext>
            </c:extLst>
          </c:dPt>
          <c:dPt>
            <c:idx val="11"/>
            <c:invertIfNegative val="0"/>
            <c:bubble3D val="0"/>
            <c:spPr>
              <a:solidFill>
                <a:schemeClr val="accent1">
                  <a:alpha val="70000"/>
                </a:schemeClr>
              </a:solidFill>
              <a:ln>
                <a:noFill/>
              </a:ln>
              <a:effectLst/>
            </c:spPr>
            <c:extLst>
              <c:ext xmlns:c16="http://schemas.microsoft.com/office/drawing/2014/chart" uri="{C3380CC4-5D6E-409C-BE32-E72D297353CC}">
                <c16:uniqueId val="{00000002-EB09-4E69-B0DC-F0DC62E16C35}"/>
              </c:ext>
            </c:extLst>
          </c:dPt>
          <c:dLbls>
            <c:dLbl>
              <c:idx val="7"/>
              <c:layout>
                <c:manualLayout>
                  <c:x val="-6.1425061425062176E-3"/>
                  <c:y val="-4.030632809351068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B09-4E69-B0DC-F0DC62E16C35}"/>
                </c:ext>
              </c:extLst>
            </c:dLbl>
            <c:dLbl>
              <c:idx val="8"/>
              <c:layout>
                <c:manualLayout>
                  <c:x val="-6.1425061425061421E-3"/>
                  <c:y val="-7.65820233776703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B09-4E69-B0DC-F0DC62E16C35}"/>
                </c:ext>
              </c:extLst>
            </c:dLbl>
            <c:dLbl>
              <c:idx val="11"/>
              <c:layout>
                <c:manualLayout>
                  <c:x val="5.1187551187551188E-2"/>
                  <c:y val="-2.41837968561064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B09-4E69-B0DC-F0DC62E16C3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'backend '!$A$4:$A$16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'backend '!$B$4:$B$16</c:f>
              <c:numCache>
                <c:formatCode>0.00</c:formatCode>
                <c:ptCount val="12"/>
                <c:pt idx="0">
                  <c:v>43951.5</c:v>
                </c:pt>
                <c:pt idx="1">
                  <c:v>34016.740000000005</c:v>
                </c:pt>
                <c:pt idx="2">
                  <c:v>52376.79</c:v>
                </c:pt>
                <c:pt idx="3">
                  <c:v>35133.75</c:v>
                </c:pt>
                <c:pt idx="4">
                  <c:v>34616.54</c:v>
                </c:pt>
                <c:pt idx="5">
                  <c:v>42426.909999999996</c:v>
                </c:pt>
                <c:pt idx="6">
                  <c:v>49607.689999999995</c:v>
                </c:pt>
                <c:pt idx="7">
                  <c:v>38604.12000000001</c:v>
                </c:pt>
                <c:pt idx="8">
                  <c:v>38863.31</c:v>
                </c:pt>
                <c:pt idx="9">
                  <c:v>53110.19999999999</c:v>
                </c:pt>
                <c:pt idx="10">
                  <c:v>36643.280000000006</c:v>
                </c:pt>
                <c:pt idx="11">
                  <c:v>39230.5</c:v>
                </c:pt>
              </c:numCache>
            </c:numRef>
          </c:val>
          <c:extLst>
            <c:ext xmlns:c16="http://schemas.microsoft.com/office/drawing/2014/chart" uri="{C3380CC4-5D6E-409C-BE32-E72D297353CC}">
              <c16:uniqueId val="{00000003-EB09-4E69-B0DC-F0DC62E16C35}"/>
            </c:ext>
          </c:extLst>
        </c:ser>
        <c:ser>
          <c:idx val="1"/>
          <c:order val="1"/>
          <c:tx>
            <c:strRef>
              <c:f>'backend '!$C$3</c:f>
              <c:strCache>
                <c:ptCount val="1"/>
                <c:pt idx="0">
                  <c:v>Sum of Quantity</c:v>
                </c:pt>
              </c:strCache>
            </c:strRef>
          </c:tx>
          <c:spPr>
            <a:solidFill>
              <a:schemeClr val="accent3">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'backend '!$A$4:$A$16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'backend '!$C$4:$C$16</c:f>
              <c:numCache>
                <c:formatCode>General</c:formatCode>
                <c:ptCount val="12"/>
                <c:pt idx="0">
                  <c:v>225</c:v>
                </c:pt>
                <c:pt idx="1">
                  <c:v>150</c:v>
                </c:pt>
                <c:pt idx="2">
                  <c:v>308</c:v>
                </c:pt>
                <c:pt idx="3">
                  <c:v>173</c:v>
                </c:pt>
                <c:pt idx="4">
                  <c:v>201</c:v>
                </c:pt>
                <c:pt idx="5">
                  <c:v>234</c:v>
                </c:pt>
                <c:pt idx="6">
                  <c:v>267</c:v>
                </c:pt>
                <c:pt idx="7">
                  <c:v>234</c:v>
                </c:pt>
                <c:pt idx="8">
                  <c:v>183</c:v>
                </c:pt>
                <c:pt idx="9">
                  <c:v>305</c:v>
                </c:pt>
                <c:pt idx="10">
                  <c:v>176</c:v>
                </c:pt>
                <c:pt idx="11">
                  <c:v>229</c:v>
                </c:pt>
              </c:numCache>
            </c:numRef>
          </c:val>
          <c:extLst>
            <c:ext xmlns:c16="http://schemas.microsoft.com/office/drawing/2014/chart" uri="{C3380CC4-5D6E-409C-BE32-E72D297353CC}">
              <c16:uniqueId val="{00000004-EB09-4E69-B0DC-F0DC62E16C35}"/>
            </c:ext>
          </c:extLst>
        </c:ser>
        <c:dLbls>
          <c:dLblPos val="outEnd"/>
          <c:showLegendKey val="0"/>
          <c:showVal val="1"/>
          <c:showCatName val="0"/>
          <c:showSerName val="0"/>
          <c:showPercent val="0"/>
          <c:showBubbleSize val="0"/>
        </c:dLbls>
        <c:gapWidth val="80"/>
        <c:axId val="860685376"/>
        <c:axId val="860684896"/>
      </c:barChart>
      <c:catAx>
        <c:axId val="86068537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860684896"/>
        <c:crosses val="autoZero"/>
        <c:auto val="1"/>
        <c:lblAlgn val="ctr"/>
        <c:lblOffset val="100"/>
        <c:noMultiLvlLbl val="0"/>
      </c:catAx>
      <c:valAx>
        <c:axId val="86068489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860685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[Retail_Sales_Analytics_Project (version 2).xlsx]backend !PivotTable3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wise Sale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noFill/>
          </a:ln>
          <a:effectLst/>
        </c:spPr>
      </c:pivotFmt>
      <c:pivotFmt>
        <c:idx val="9"/>
        <c:spPr>
          <a:solidFill>
            <a:schemeClr val="accent1"/>
          </a:solidFill>
          <a:ln w="19050">
            <a:noFill/>
          </a:ln>
          <a:effectLst/>
        </c:spPr>
      </c:pivotFmt>
      <c:pivotFmt>
        <c:idx val="10"/>
        <c:spPr>
          <a:solidFill>
            <a:schemeClr val="accent1"/>
          </a:solidFill>
          <a:ln w="19050">
            <a:noFill/>
          </a:ln>
          <a:effectLst/>
        </c:spPr>
      </c:pivotFmt>
      <c:pivotFmt>
        <c:idx val="11"/>
        <c:spPr>
          <a:solidFill>
            <a:schemeClr val="accent1"/>
          </a:solidFill>
          <a:ln w="19050">
            <a:noFill/>
          </a:ln>
          <a:effectLst/>
        </c:spPr>
      </c:pivotFmt>
    </c:pivotFmts>
    <c:plotArea>
      <c:layout/>
      <c:pieChart>
        <c:varyColors val="1"/>
        <c:ser>
          <c:idx val="0"/>
          <c:order val="0"/>
          <c:tx>
            <c:strRef>
              <c:f>'backend '!$C$26</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479F-4FFA-B316-98C46535F9F8}"/>
              </c:ext>
            </c:extLst>
          </c:dPt>
          <c:dPt>
            <c:idx val="1"/>
            <c:bubble3D val="0"/>
            <c:spPr>
              <a:solidFill>
                <a:schemeClr val="accent2"/>
              </a:solidFill>
              <a:ln w="19050">
                <a:noFill/>
              </a:ln>
              <a:effectLst/>
            </c:spPr>
            <c:extLst>
              <c:ext xmlns:c16="http://schemas.microsoft.com/office/drawing/2014/chart" uri="{C3380CC4-5D6E-409C-BE32-E72D297353CC}">
                <c16:uniqueId val="{00000003-479F-4FFA-B316-98C46535F9F8}"/>
              </c:ext>
            </c:extLst>
          </c:dPt>
          <c:dPt>
            <c:idx val="2"/>
            <c:bubble3D val="0"/>
            <c:spPr>
              <a:solidFill>
                <a:schemeClr val="accent3"/>
              </a:solidFill>
              <a:ln w="19050">
                <a:noFill/>
              </a:ln>
              <a:effectLst/>
            </c:spPr>
            <c:extLst>
              <c:ext xmlns:c16="http://schemas.microsoft.com/office/drawing/2014/chart" uri="{C3380CC4-5D6E-409C-BE32-E72D297353CC}">
                <c16:uniqueId val="{00000005-479F-4FFA-B316-98C46535F9F8}"/>
              </c:ext>
            </c:extLst>
          </c:dPt>
          <c:dPt>
            <c:idx val="3"/>
            <c:bubble3D val="0"/>
            <c:spPr>
              <a:solidFill>
                <a:schemeClr val="accent4"/>
              </a:solidFill>
              <a:ln w="19050">
                <a:noFill/>
              </a:ln>
              <a:effectLst/>
            </c:spPr>
            <c:extLst>
              <c:ext xmlns:c16="http://schemas.microsoft.com/office/drawing/2014/chart" uri="{C3380CC4-5D6E-409C-BE32-E72D297353CC}">
                <c16:uniqueId val="{00000007-479F-4FFA-B316-98C46535F9F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'backend '!$B$27:$B$31</c:f>
              <c:strCache>
                <c:ptCount val="4"/>
                <c:pt idx="0">
                  <c:v>East</c:v>
                </c:pt>
                <c:pt idx="1">
                  <c:v>North</c:v>
                </c:pt>
                <c:pt idx="2">
                  <c:v>South</c:v>
                </c:pt>
                <c:pt idx="3">
                  <c:v>West</c:v>
                </c:pt>
              </c:strCache>
            </c:strRef>
          </c:cat>
          <c:val>
            <c:numRef>
              <c:f>'backend '!$C$27:$C$31</c:f>
              <c:numCache>
                <c:formatCode>0.00</c:formatCode>
                <c:ptCount val="4"/>
                <c:pt idx="0">
                  <c:v>123362.66000000008</c:v>
                </c:pt>
                <c:pt idx="1">
                  <c:v>123265.84000000016</c:v>
                </c:pt>
                <c:pt idx="2">
                  <c:v>132689.11999999997</c:v>
                </c:pt>
                <c:pt idx="3">
                  <c:v>119263.71000000002</c:v>
                </c:pt>
              </c:numCache>
            </c:numRef>
          </c:val>
          <c:extLst>
            <c:ext xmlns:c16="http://schemas.microsoft.com/office/drawing/2014/chart" uri="{C3380CC4-5D6E-409C-BE32-E72D297353CC}">
              <c16:uniqueId val="{00000008-479F-4FFA-B316-98C46535F9F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[Retail_Sales_Analytics_Project (version 2).xlsx]backend !PivotTable6</c:name>
    <c:fmtId val="29"/>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IN"/>
              <a:t>Top 10 Product</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70000"/>
            </a:schemeClr>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'backend '!$B$52</c:f>
              <c:strCache>
                <c:ptCount val="1"/>
                <c:pt idx="0">
                  <c:v>Sum of Quantity</c:v>
                </c:pt>
              </c:strCache>
            </c:strRef>
          </c:tx>
          <c:spPr>
            <a:solidFill>
              <a:schemeClr val="accent1">
                <a:tint val="77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'backend '!$A$53:$A$63</c:f>
              <c:strCache>
                <c:ptCount val="10"/>
                <c:pt idx="0">
                  <c:v>Monitor Model-975</c:v>
                </c:pt>
                <c:pt idx="1">
                  <c:v>Laptop Model-983</c:v>
                </c:pt>
                <c:pt idx="2">
                  <c:v>Pen Model-106</c:v>
                </c:pt>
                <c:pt idx="3">
                  <c:v>Table Model-123</c:v>
                </c:pt>
                <c:pt idx="4">
                  <c:v>Binder Model-791</c:v>
                </c:pt>
                <c:pt idx="5">
                  <c:v>Chair Model-955</c:v>
                </c:pt>
                <c:pt idx="6">
                  <c:v>Pen Model-180</c:v>
                </c:pt>
                <c:pt idx="7">
                  <c:v>Bookcase Model-958</c:v>
                </c:pt>
                <c:pt idx="8">
                  <c:v>Phone Model-832</c:v>
                </c:pt>
                <c:pt idx="9">
                  <c:v>Stapler Model-820</c:v>
                </c:pt>
              </c:strCache>
            </c:strRef>
          </c:cat>
          <c:val>
            <c:numRef>
              <c:f>'backend '!$B$53:$B$63</c:f>
              <c:numCache>
                <c:formatCode>General</c:formatCode>
                <c:ptCount val="10"/>
                <c:pt idx="0">
                  <c:v>16</c:v>
                </c:pt>
                <c:pt idx="1">
                  <c:v>10</c:v>
                </c:pt>
                <c:pt idx="2">
                  <c:v>12</c:v>
                </c:pt>
                <c:pt idx="3">
                  <c:v>10</c:v>
                </c:pt>
                <c:pt idx="4">
                  <c:v>3</c:v>
                </c:pt>
                <c:pt idx="5">
                  <c:v>7</c:v>
                </c:pt>
                <c:pt idx="6">
                  <c:v>3</c:v>
                </c:pt>
                <c:pt idx="7">
                  <c:v>2</c:v>
                </c:pt>
                <c:pt idx="8">
                  <c:v>5</c:v>
                </c:pt>
                <c:pt idx="9">
                  <c:v>8</c:v>
                </c:pt>
              </c:numCache>
            </c:numRef>
          </c:val>
          <c:extLst>
            <c:ext xmlns:c16="http://schemas.microsoft.com/office/drawing/2014/chart" uri="{C3380CC4-5D6E-409C-BE32-E72D297353CC}">
              <c16:uniqueId val="{00000000-7ED9-4A41-BC8F-D1738FC4E5E7}"/>
            </c:ext>
          </c:extLst>
        </c:ser>
        <c:ser>
          <c:idx val="1"/>
          <c:order val="1"/>
          <c:tx>
            <c:strRef>
              <c:f>'backend '!$C$52</c:f>
              <c:strCache>
                <c:ptCount val="1"/>
                <c:pt idx="0">
                  <c:v>Sum of Sales</c:v>
                </c:pt>
              </c:strCache>
            </c:strRef>
          </c:tx>
          <c:spPr>
            <a:solidFill>
              <a:schemeClr val="accent1">
                <a:shade val="76000"/>
                <a:alpha val="70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'backend '!$A$53:$A$63</c:f>
              <c:strCache>
                <c:ptCount val="10"/>
                <c:pt idx="0">
                  <c:v>Monitor Model-975</c:v>
                </c:pt>
                <c:pt idx="1">
                  <c:v>Laptop Model-983</c:v>
                </c:pt>
                <c:pt idx="2">
                  <c:v>Pen Model-106</c:v>
                </c:pt>
                <c:pt idx="3">
                  <c:v>Table Model-123</c:v>
                </c:pt>
                <c:pt idx="4">
                  <c:v>Binder Model-791</c:v>
                </c:pt>
                <c:pt idx="5">
                  <c:v>Chair Model-955</c:v>
                </c:pt>
                <c:pt idx="6">
                  <c:v>Pen Model-180</c:v>
                </c:pt>
                <c:pt idx="7">
                  <c:v>Bookcase Model-958</c:v>
                </c:pt>
                <c:pt idx="8">
                  <c:v>Phone Model-832</c:v>
                </c:pt>
                <c:pt idx="9">
                  <c:v>Stapler Model-820</c:v>
                </c:pt>
              </c:strCache>
            </c:strRef>
          </c:cat>
          <c:val>
            <c:numRef>
              <c:f>'backend '!$C$53:$C$63</c:f>
              <c:numCache>
                <c:formatCode>0.00</c:formatCode>
                <c:ptCount val="10"/>
                <c:pt idx="0">
                  <c:v>3206.52</c:v>
                </c:pt>
                <c:pt idx="1">
                  <c:v>3034.31</c:v>
                </c:pt>
                <c:pt idx="2">
                  <c:v>2301.3000000000002</c:v>
                </c:pt>
                <c:pt idx="3">
                  <c:v>1996</c:v>
                </c:pt>
                <c:pt idx="4">
                  <c:v>1995.65</c:v>
                </c:pt>
                <c:pt idx="5">
                  <c:v>1995.19</c:v>
                </c:pt>
                <c:pt idx="6">
                  <c:v>1991.69</c:v>
                </c:pt>
                <c:pt idx="7">
                  <c:v>1991.29</c:v>
                </c:pt>
                <c:pt idx="8">
                  <c:v>1990.61</c:v>
                </c:pt>
                <c:pt idx="9">
                  <c:v>1981.38</c:v>
                </c:pt>
              </c:numCache>
            </c:numRef>
          </c:val>
          <c:extLst>
            <c:ext xmlns:c16="http://schemas.microsoft.com/office/drawing/2014/chart" uri="{C3380CC4-5D6E-409C-BE32-E72D297353CC}">
              <c16:uniqueId val="{00000001-7ED9-4A41-BC8F-D1738FC4E5E7}"/>
            </c:ext>
          </c:extLst>
        </c:ser>
        <c:dLbls>
          <c:dLblPos val="outEnd"/>
          <c:showLegendKey val="0"/>
          <c:showVal val="1"/>
          <c:showCatName val="0"/>
          <c:showSerName val="0"/>
          <c:showPercent val="0"/>
          <c:showBubbleSize val="0"/>
        </c:dLbls>
        <c:gapWidth val="80"/>
        <c:overlap val="25"/>
        <c:axId val="1439392895"/>
        <c:axId val="1439380415"/>
      </c:barChart>
      <c:catAx>
        <c:axId val="1439392895"/>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439380415"/>
        <c:crosses val="autoZero"/>
        <c:auto val="1"/>
        <c:lblAlgn val="ctr"/>
        <c:lblOffset val="100"/>
        <c:noMultiLvlLbl val="0"/>
      </c:catAx>
      <c:valAx>
        <c:axId val="14393804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439392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[Retail_Sales_Analytics_Project (version 2).xlsx]backend !PivotTable1</c:name>
    <c:fmtId val="4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Sub</a:t>
            </a:r>
            <a:r>
              <a:rPr lang="en-IN" baseline="0"/>
              <a:t>-Category vs Quantity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noFill/>
          </a:ln>
          <a:effectLst/>
        </c:spPr>
        <c:marker>
          <c:symbol val="none"/>
        </c:marker>
        <c:dLbl>
          <c:idx val="0"/>
          <c:spPr>
            <a:solidFill>
              <a:schemeClr val="accent1"/>
            </a:solidFill>
            <a:ln>
              <a:noFill/>
            </a:ln>
            <a:effectLst>
              <a:outerShdw blurRad="63500" sx="102000" sy="102000" algn="ctr"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noFill/>
          </a:ln>
          <a:effectLst/>
        </c:spPr>
      </c:pivotFmt>
      <c:pivotFmt>
        <c:idx val="18"/>
        <c:spPr>
          <a:solidFill>
            <a:schemeClr val="accent1"/>
          </a:solidFill>
          <a:ln w="19050">
            <a:noFill/>
          </a:ln>
          <a:effectLst/>
        </c:spPr>
      </c:pivotFmt>
      <c:pivotFmt>
        <c:idx val="19"/>
        <c:spPr>
          <a:solidFill>
            <a:schemeClr val="accent1"/>
          </a:solidFill>
          <a:ln w="19050">
            <a:noFill/>
          </a:ln>
          <a:effectLst/>
        </c:spPr>
      </c:pivotFmt>
      <c:pivotFmt>
        <c:idx val="20"/>
        <c:spPr>
          <a:solidFill>
            <a:schemeClr val="accent1"/>
          </a:solidFill>
          <a:ln w="19050">
            <a:noFill/>
          </a:ln>
          <a:effectLst/>
        </c:spPr>
      </c:pivotFmt>
      <c:pivotFmt>
        <c:idx val="21"/>
        <c:spPr>
          <a:solidFill>
            <a:schemeClr val="accent1"/>
          </a:solidFill>
          <a:ln w="19050">
            <a:noFill/>
          </a:ln>
          <a:effectLst/>
        </c:spPr>
      </c:pivotFmt>
      <c:pivotFmt>
        <c:idx val="22"/>
        <c:spPr>
          <a:solidFill>
            <a:schemeClr val="accent1"/>
          </a:solidFill>
          <a:ln w="19050">
            <a:noFill/>
          </a:ln>
          <a:effectLst/>
        </c:spPr>
      </c:pivotFmt>
      <c:pivotFmt>
        <c:idx val="23"/>
        <c:spPr>
          <a:solidFill>
            <a:schemeClr val="accent1"/>
          </a:solidFill>
          <a:ln w="19050">
            <a:noFill/>
          </a:ln>
          <a:effectLst/>
        </c:spPr>
      </c:pivotFmt>
      <c:pivotFmt>
        <c:idx val="24"/>
        <c:spPr>
          <a:solidFill>
            <a:schemeClr val="accent1"/>
          </a:solidFill>
          <a:ln w="19050">
            <a:noFill/>
          </a:ln>
          <a:effectLst/>
        </c:spPr>
      </c:pivotFmt>
      <c:pivotFmt>
        <c:idx val="25"/>
        <c:spPr>
          <a:solidFill>
            <a:schemeClr val="accent1"/>
          </a:solidFill>
          <a:ln w="19050">
            <a:noFill/>
          </a:ln>
          <a:effectLst/>
        </c:spPr>
      </c:pivotFmt>
      <c:pivotFmt>
        <c:idx val="26"/>
        <c:spPr>
          <a:solidFill>
            <a:schemeClr val="accent1"/>
          </a:solidFill>
          <a:ln w="19050">
            <a:noFill/>
          </a:ln>
          <a:effectLst/>
        </c:spPr>
      </c:pivotFmt>
      <c:pivotFmt>
        <c:idx val="27"/>
        <c:spPr>
          <a:solidFill>
            <a:schemeClr val="accent1"/>
          </a:solidFill>
          <a:ln w="19050">
            <a:noFill/>
          </a:ln>
          <a:effectLst/>
        </c:spPr>
      </c:pivotFmt>
      <c:pivotFmt>
        <c:idx val="28"/>
        <c:spPr>
          <a:solidFill>
            <a:schemeClr val="accent1"/>
          </a:solidFill>
          <a:ln w="19050">
            <a:noFill/>
          </a:ln>
          <a:effectLst/>
        </c:spPr>
      </c:pivotFmt>
      <c:pivotFmt>
        <c:idx val="29"/>
        <c:spPr>
          <a:solidFill>
            <a:schemeClr val="accent1"/>
          </a:solidFill>
          <a:ln w="19050">
            <a:noFill/>
          </a:ln>
          <a:effectLst/>
        </c:spPr>
      </c:pivotFmt>
    </c:pivotFmts>
    <c:plotArea>
      <c:layout/>
      <c:pieChart>
        <c:varyColors val="1"/>
        <c:ser>
          <c:idx val="0"/>
          <c:order val="0"/>
          <c:tx>
            <c:strRef>
              <c:f>'backend '!$I$86</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22B2-411E-B4E4-D674487DEB31}"/>
              </c:ext>
            </c:extLst>
          </c:dPt>
          <c:dPt>
            <c:idx val="1"/>
            <c:bubble3D val="0"/>
            <c:spPr>
              <a:solidFill>
                <a:schemeClr val="accent2"/>
              </a:solidFill>
              <a:ln w="19050">
                <a:noFill/>
              </a:ln>
              <a:effectLst/>
            </c:spPr>
            <c:extLst>
              <c:ext xmlns:c16="http://schemas.microsoft.com/office/drawing/2014/chart" uri="{C3380CC4-5D6E-409C-BE32-E72D297353CC}">
                <c16:uniqueId val="{00000003-22B2-411E-B4E4-D674487DEB31}"/>
              </c:ext>
            </c:extLst>
          </c:dPt>
          <c:dPt>
            <c:idx val="2"/>
            <c:bubble3D val="0"/>
            <c:spPr>
              <a:solidFill>
                <a:schemeClr val="accent3"/>
              </a:solidFill>
              <a:ln w="19050">
                <a:noFill/>
              </a:ln>
              <a:effectLst/>
            </c:spPr>
            <c:extLst>
              <c:ext xmlns:c16="http://schemas.microsoft.com/office/drawing/2014/chart" uri="{C3380CC4-5D6E-409C-BE32-E72D297353CC}">
                <c16:uniqueId val="{00000005-22B2-411E-B4E4-D674487DEB31}"/>
              </c:ext>
            </c:extLst>
          </c:dPt>
          <c:dPt>
            <c:idx val="3"/>
            <c:bubble3D val="0"/>
            <c:spPr>
              <a:solidFill>
                <a:schemeClr val="accent4"/>
              </a:solidFill>
              <a:ln w="19050">
                <a:noFill/>
              </a:ln>
              <a:effectLst/>
            </c:spPr>
            <c:extLst>
              <c:ext xmlns:c16="http://schemas.microsoft.com/office/drawing/2014/chart" uri="{C3380CC4-5D6E-409C-BE32-E72D297353CC}">
                <c16:uniqueId val="{00000007-22B2-411E-B4E4-D674487DEB31}"/>
              </c:ext>
            </c:extLst>
          </c:dPt>
          <c:dPt>
            <c:idx val="4"/>
            <c:bubble3D val="0"/>
            <c:spPr>
              <a:solidFill>
                <a:schemeClr val="accent5"/>
              </a:solidFill>
              <a:ln w="19050">
                <a:noFill/>
              </a:ln>
              <a:effectLst/>
            </c:spPr>
            <c:extLst>
              <c:ext xmlns:c16="http://schemas.microsoft.com/office/drawing/2014/chart" uri="{C3380CC4-5D6E-409C-BE32-E72D297353CC}">
                <c16:uniqueId val="{00000009-22B2-411E-B4E4-D674487DEB31}"/>
              </c:ext>
            </c:extLst>
          </c:dPt>
          <c:dPt>
            <c:idx val="5"/>
            <c:bubble3D val="0"/>
            <c:spPr>
              <a:solidFill>
                <a:schemeClr val="accent6"/>
              </a:solidFill>
              <a:ln w="19050">
                <a:noFill/>
              </a:ln>
              <a:effectLst/>
            </c:spPr>
            <c:extLst>
              <c:ext xmlns:c16="http://schemas.microsoft.com/office/drawing/2014/chart" uri="{C3380CC4-5D6E-409C-BE32-E72D297353CC}">
                <c16:uniqueId val="{0000000B-22B2-411E-B4E4-D674487DEB31}"/>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22B2-411E-B4E4-D674487DEB31}"/>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22B2-411E-B4E4-D674487DEB31}"/>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22B2-411E-B4E4-D674487DEB31}"/>
              </c:ext>
            </c:extLst>
          </c:dPt>
          <c:dPt>
            <c:idx val="9"/>
            <c:bubble3D val="0"/>
            <c:spPr>
              <a:solidFill>
                <a:schemeClr val="accent4">
                  <a:lumMod val="60000"/>
                </a:schemeClr>
              </a:solidFill>
              <a:ln w="19050">
                <a:noFill/>
              </a:ln>
              <a:effectLst/>
            </c:spPr>
            <c:extLst>
              <c:ext xmlns:c16="http://schemas.microsoft.com/office/drawing/2014/chart" uri="{C3380CC4-5D6E-409C-BE32-E72D297353CC}">
                <c16:uniqueId val="{00000013-22B2-411E-B4E4-D674487DEB31}"/>
              </c:ext>
            </c:extLst>
          </c:dPt>
          <c:dPt>
            <c:idx val="10"/>
            <c:bubble3D val="0"/>
            <c:spPr>
              <a:solidFill>
                <a:schemeClr val="accent5">
                  <a:lumMod val="60000"/>
                </a:schemeClr>
              </a:solidFill>
              <a:ln w="19050">
                <a:noFill/>
              </a:ln>
              <a:effectLst/>
            </c:spPr>
            <c:extLst>
              <c:ext xmlns:c16="http://schemas.microsoft.com/office/drawing/2014/chart" uri="{C3380CC4-5D6E-409C-BE32-E72D297353CC}">
                <c16:uniqueId val="{00000015-22B2-411E-B4E4-D674487DEB31}"/>
              </c:ext>
            </c:extLst>
          </c:dPt>
          <c:dPt>
            <c:idx val="11"/>
            <c:bubble3D val="0"/>
            <c:spPr>
              <a:solidFill>
                <a:schemeClr val="accent6">
                  <a:lumMod val="60000"/>
                </a:schemeClr>
              </a:solidFill>
              <a:ln w="19050">
                <a:noFill/>
              </a:ln>
              <a:effectLst/>
            </c:spPr>
            <c:extLst>
              <c:ext xmlns:c16="http://schemas.microsoft.com/office/drawing/2014/chart" uri="{C3380CC4-5D6E-409C-BE32-E72D297353CC}">
                <c16:uniqueId val="{00000017-22B2-411E-B4E4-D674487DEB31}"/>
              </c:ext>
            </c:extLst>
          </c:dPt>
          <c:dPt>
            <c:idx val="12"/>
            <c:bubble3D val="0"/>
            <c:spPr>
              <a:solidFill>
                <a:schemeClr val="accent1">
                  <a:lumMod val="80000"/>
                  <a:lumOff val="20000"/>
                </a:schemeClr>
              </a:solidFill>
              <a:ln w="19050">
                <a:noFill/>
              </a:ln>
              <a:effectLst/>
            </c:spPr>
            <c:extLst>
              <c:ext xmlns:c16="http://schemas.microsoft.com/office/drawing/2014/chart" uri="{C3380CC4-5D6E-409C-BE32-E72D297353CC}">
                <c16:uniqueId val="{00000019-22B2-411E-B4E4-D674487DEB31}"/>
              </c:ext>
            </c:extLst>
          </c:dPt>
          <c:dLbls>
            <c:spPr>
              <a:solidFill>
                <a:schemeClr val="accent1"/>
              </a:solidFill>
              <a:ln>
                <a:noFill/>
              </a:ln>
              <a:effectLst>
                <a:outerShdw blurRad="63500" sx="102000" sy="102000" algn="ctr"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'backend '!$H$87:$H$100</c:f>
              <c:strCache>
                <c:ptCount val="13"/>
                <c:pt idx="0">
                  <c:v>Binder</c:v>
                </c:pt>
                <c:pt idx="1">
                  <c:v>Bookcase</c:v>
                </c:pt>
                <c:pt idx="2">
                  <c:v>Chair</c:v>
                </c:pt>
                <c:pt idx="3">
                  <c:v>Laptop</c:v>
                </c:pt>
                <c:pt idx="4">
                  <c:v>Monitor</c:v>
                </c:pt>
                <c:pt idx="5">
                  <c:v>Paper</c:v>
                </c:pt>
                <c:pt idx="6">
                  <c:v>Pen</c:v>
                </c:pt>
                <c:pt idx="7">
                  <c:v>Phone</c:v>
                </c:pt>
                <c:pt idx="8">
                  <c:v>Printer</c:v>
                </c:pt>
                <c:pt idx="9">
                  <c:v>Sofa</c:v>
                </c:pt>
                <c:pt idx="10">
                  <c:v>Stapler</c:v>
                </c:pt>
                <c:pt idx="11">
                  <c:v>Table</c:v>
                </c:pt>
                <c:pt idx="12">
                  <c:v>(blank)</c:v>
                </c:pt>
              </c:strCache>
            </c:strRef>
          </c:cat>
          <c:val>
            <c:numRef>
              <c:f>'backend '!$I$87:$I$100</c:f>
              <c:numCache>
                <c:formatCode>General</c:formatCode>
                <c:ptCount val="13"/>
                <c:pt idx="0">
                  <c:v>210</c:v>
                </c:pt>
                <c:pt idx="1">
                  <c:v>212</c:v>
                </c:pt>
                <c:pt idx="2">
                  <c:v>240</c:v>
                </c:pt>
                <c:pt idx="3">
                  <c:v>262</c:v>
                </c:pt>
                <c:pt idx="4">
                  <c:v>170</c:v>
                </c:pt>
                <c:pt idx="5">
                  <c:v>204</c:v>
                </c:pt>
                <c:pt idx="6">
                  <c:v>245</c:v>
                </c:pt>
                <c:pt idx="7">
                  <c:v>249</c:v>
                </c:pt>
                <c:pt idx="8">
                  <c:v>245</c:v>
                </c:pt>
                <c:pt idx="9">
                  <c:v>211</c:v>
                </c:pt>
                <c:pt idx="10">
                  <c:v>207</c:v>
                </c:pt>
                <c:pt idx="11">
                  <c:v>228</c:v>
                </c:pt>
                <c:pt idx="12">
                  <c:v>2</c:v>
                </c:pt>
              </c:numCache>
            </c:numRef>
          </c:val>
          <c:extLst>
            <c:ext xmlns:c16="http://schemas.microsoft.com/office/drawing/2014/chart" uri="{C3380CC4-5D6E-409C-BE32-E72D297353CC}">
              <c16:uniqueId val="{0000001A-22B2-411E-B4E4-D674487DEB3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[Retail_Sales_Analytics_Project (version 2).xlsx]backend !PivotTable2</c:name>
    <c:fmtId val="3"/>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IN"/>
              <a:t>Month wise Sales &amp; Quantity</a:t>
            </a:r>
          </a:p>
        </c:rich>
      </c:tx>
      <c:layout>
        <c:manualLayout>
          <c:xMode val="edge"/>
          <c:yMode val="edge"/>
          <c:x val="0.28956257617674941"/>
          <c:y val="4.0475487722438558E-2"/>
        </c:manualLayout>
      </c:layout>
      <c:overlay val="0"/>
      <c:spPr>
        <a:noFill/>
        <a:ln>
          <a:noFill/>
        </a:ln>
        <a:effectLst/>
      </c:spPr>
    </c:title>
    <c:autoTitleDeleted val="0"/>
    <c:pivotFmts>
      <c:pivotFmt>
        <c:idx val="0"/>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circle"/>
          <c:size val="6"/>
          <c:spPr>
            <a:solidFill>
              <a:schemeClr val="accent3">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dLbl>
          <c:idx val="0"/>
          <c:layout>
            <c:manualLayout>
              <c:x val="-6.1425061425062176E-3"/>
              <c:y val="-4.030632809351068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70000"/>
            </a:schemeClr>
          </a:solidFill>
          <a:ln>
            <a:noFill/>
          </a:ln>
          <a:effectLst/>
        </c:spPr>
        <c:dLbl>
          <c:idx val="0"/>
          <c:layout>
            <c:manualLayout>
              <c:x val="5.1187551187551188E-2"/>
              <c:y val="-2.4183796856106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70000"/>
            </a:schemeClr>
          </a:solidFill>
          <a:ln>
            <a:noFill/>
          </a:ln>
          <a:effectLst/>
        </c:spPr>
        <c:dLbl>
          <c:idx val="0"/>
          <c:layout>
            <c:manualLayout>
              <c:x val="-6.1425061425061421E-3"/>
              <c:y val="-7.65820233776703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70000"/>
            </a:schemeClr>
          </a:solidFill>
          <a:ln>
            <a:noFill/>
          </a:ln>
          <a:effectLst/>
        </c:spPr>
        <c:dLbl>
          <c:idx val="0"/>
          <c:layout>
            <c:manualLayout>
              <c:x val="-6.1425061425062176E-3"/>
              <c:y val="-4.030632809351068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70000"/>
            </a:schemeClr>
          </a:solidFill>
          <a:ln>
            <a:noFill/>
          </a:ln>
          <a:effectLst/>
        </c:spPr>
        <c:dLbl>
          <c:idx val="0"/>
          <c:layout>
            <c:manualLayout>
              <c:x val="-6.1425061425061421E-3"/>
              <c:y val="-7.65820233776703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70000"/>
            </a:schemeClr>
          </a:solidFill>
          <a:ln>
            <a:noFill/>
          </a:ln>
          <a:effectLst/>
        </c:spPr>
        <c:dLbl>
          <c:idx val="0"/>
          <c:layout>
            <c:manualLayout>
              <c:x val="5.1187551187551188E-2"/>
              <c:y val="-2.4183796856106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70000"/>
            </a:schemeClr>
          </a:solidFill>
          <a:ln>
            <a:noFill/>
          </a:ln>
          <a:effectLst/>
        </c:spPr>
        <c:dLbl>
          <c:idx val="0"/>
          <c:layout>
            <c:manualLayout>
              <c:x val="-6.1425061425062176E-3"/>
              <c:y val="-4.030632809351068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70000"/>
            </a:schemeClr>
          </a:solidFill>
          <a:ln>
            <a:noFill/>
          </a:ln>
          <a:effectLst/>
        </c:spPr>
        <c:dLbl>
          <c:idx val="0"/>
          <c:layout>
            <c:manualLayout>
              <c:x val="-6.1425061425061421E-3"/>
              <c:y val="-7.65820233776703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70000"/>
            </a:schemeClr>
          </a:solidFill>
          <a:ln>
            <a:noFill/>
          </a:ln>
          <a:effectLst/>
        </c:spPr>
        <c:dLbl>
          <c:idx val="0"/>
          <c:layout>
            <c:manualLayout>
              <c:x val="5.1187551187551188E-2"/>
              <c:y val="-2.4183796856106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6.1425061425062176E-3"/>
              <c:y val="-4.030632809351068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6.1425061425061421E-3"/>
              <c:y val="-7.65820233776703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5.1187551187551188E-2"/>
              <c:y val="-2.4183796856106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3">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6.1425061425062176E-3"/>
              <c:y val="-4.030632809351068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dLbl>
          <c:idx val="0"/>
          <c:layout>
            <c:manualLayout>
              <c:x val="-6.1425061425061421E-3"/>
              <c:y val="-7.65820233776703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5.1187551187551188E-2"/>
              <c:y val="-2.4183796856106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3">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dLbl>
          <c:idx val="0"/>
          <c:layout>
            <c:manualLayout>
              <c:x val="-6.1425061425062176E-3"/>
              <c:y val="-4.030632809351068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dLbl>
          <c:idx val="0"/>
          <c:layout>
            <c:manualLayout>
              <c:x val="-6.1425061425061421E-3"/>
              <c:y val="-7.65820233776703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dLbl>
          <c:idx val="0"/>
          <c:layout>
            <c:manualLayout>
              <c:x val="5.1187551187551188E-2"/>
              <c:y val="-2.4183796856106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3">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dLbl>
          <c:idx val="0"/>
          <c:layout>
            <c:manualLayout>
              <c:x val="-6.1425061425062176E-3"/>
              <c:y val="-4.030632809351068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dLbl>
          <c:idx val="0"/>
          <c:layout>
            <c:manualLayout>
              <c:x val="-6.1425061425061421E-3"/>
              <c:y val="-7.65820233776703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dLbl>
          <c:idx val="0"/>
          <c:layout>
            <c:manualLayout>
              <c:x val="5.1187551187551188E-2"/>
              <c:y val="-2.4183796856106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3">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'backend '!$B$3</c:f>
              <c:strCache>
                <c:ptCount val="1"/>
                <c:pt idx="0">
                  <c:v>Sum of Sales</c:v>
                </c:pt>
              </c:strCache>
            </c:strRef>
          </c:tx>
          <c:spPr>
            <a:solidFill>
              <a:schemeClr val="accent1">
                <a:alpha val="70000"/>
              </a:schemeClr>
            </a:solidFill>
            <a:ln>
              <a:noFill/>
            </a:ln>
            <a:effectLst/>
          </c:spPr>
          <c:invertIfNegative val="0"/>
          <c:dLbls>
            <c:dLbl>
              <c:idx val="7"/>
              <c:layout>
                <c:manualLayout>
                  <c:x val="-6.1425061425062176E-3"/>
                  <c:y val="-4.030632809351068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935-47A2-804F-1072B5D41E42}"/>
                </c:ext>
              </c:extLst>
            </c:dLbl>
            <c:dLbl>
              <c:idx val="8"/>
              <c:layout>
                <c:manualLayout>
                  <c:x val="-6.1425061425061421E-3"/>
                  <c:y val="-7.658202337767032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935-47A2-804F-1072B5D41E42}"/>
                </c:ext>
              </c:extLst>
            </c:dLbl>
            <c:dLbl>
              <c:idx val="11"/>
              <c:layout>
                <c:manualLayout>
                  <c:x val="5.1187551187551188E-2"/>
                  <c:y val="-2.418379685610644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B935-47A2-804F-1072B5D41E4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'backend '!$A$4:$A$16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'backend '!$B$4:$B$16</c:f>
              <c:numCache>
                <c:formatCode>0.00</c:formatCode>
                <c:ptCount val="12"/>
                <c:pt idx="0">
                  <c:v>43951.5</c:v>
                </c:pt>
                <c:pt idx="1">
                  <c:v>34016.740000000005</c:v>
                </c:pt>
                <c:pt idx="2">
                  <c:v>52376.79</c:v>
                </c:pt>
                <c:pt idx="3">
                  <c:v>35133.75</c:v>
                </c:pt>
                <c:pt idx="4">
                  <c:v>34616.54</c:v>
                </c:pt>
                <c:pt idx="5">
                  <c:v>42426.909999999996</c:v>
                </c:pt>
                <c:pt idx="6">
                  <c:v>49607.689999999995</c:v>
                </c:pt>
                <c:pt idx="7">
                  <c:v>38604.12000000001</c:v>
                </c:pt>
                <c:pt idx="8">
                  <c:v>38863.31</c:v>
                </c:pt>
                <c:pt idx="9">
                  <c:v>53110.19999999999</c:v>
                </c:pt>
                <c:pt idx="10">
                  <c:v>36643.280000000006</c:v>
                </c:pt>
                <c:pt idx="11">
                  <c:v>39230.5</c:v>
                </c:pt>
              </c:numCache>
            </c:numRef>
          </c:val>
          <c:extLst>
            <c:ext xmlns:c16="http://schemas.microsoft.com/office/drawing/2014/chart" uri="{C3380CC4-5D6E-409C-BE32-E72D297353CC}">
              <c16:uniqueId val="{00000011-B935-47A2-804F-1072B5D41E42}"/>
            </c:ext>
          </c:extLst>
        </c:ser>
        <c:ser>
          <c:idx val="1"/>
          <c:order val="1"/>
          <c:tx>
            <c:strRef>
              <c:f>'backend '!$C$3</c:f>
              <c:strCache>
                <c:ptCount val="1"/>
                <c:pt idx="0">
                  <c:v>Sum of Quantity</c:v>
                </c:pt>
              </c:strCache>
            </c:strRef>
          </c:tx>
          <c:spPr>
            <a:solidFill>
              <a:schemeClr val="accent3">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'backend '!$A$4:$A$16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'backend '!$C$4:$C$16</c:f>
              <c:numCache>
                <c:formatCode>General</c:formatCode>
                <c:ptCount val="12"/>
                <c:pt idx="0">
                  <c:v>225</c:v>
                </c:pt>
                <c:pt idx="1">
                  <c:v>150</c:v>
                </c:pt>
                <c:pt idx="2">
                  <c:v>308</c:v>
                </c:pt>
                <c:pt idx="3">
                  <c:v>173</c:v>
                </c:pt>
                <c:pt idx="4">
                  <c:v>201</c:v>
                </c:pt>
                <c:pt idx="5">
                  <c:v>234</c:v>
                </c:pt>
                <c:pt idx="6">
                  <c:v>267</c:v>
                </c:pt>
                <c:pt idx="7">
                  <c:v>234</c:v>
                </c:pt>
                <c:pt idx="8">
                  <c:v>183</c:v>
                </c:pt>
                <c:pt idx="9">
                  <c:v>305</c:v>
                </c:pt>
                <c:pt idx="10">
                  <c:v>176</c:v>
                </c:pt>
                <c:pt idx="11">
                  <c:v>229</c:v>
                </c:pt>
              </c:numCache>
            </c:numRef>
          </c:val>
          <c:extLst>
            <c:ext xmlns:c16="http://schemas.microsoft.com/office/drawing/2014/chart" uri="{C3380CC4-5D6E-409C-BE32-E72D297353CC}">
              <c16:uniqueId val="{00000013-B935-47A2-804F-1072B5D41E42}"/>
            </c:ext>
          </c:extLst>
        </c:ser>
        <c:dLbls>
          <c:dLblPos val="outEnd"/>
          <c:showLegendKey val="0"/>
          <c:showVal val="1"/>
          <c:showCatName val="0"/>
          <c:showSerName val="0"/>
          <c:showPercent val="0"/>
          <c:showBubbleSize val="0"/>
        </c:dLbls>
        <c:gapWidth val="80"/>
        <c:overlap val="25"/>
        <c:axId val="860685376"/>
        <c:axId val="860684896"/>
      </c:barChart>
      <c:catAx>
        <c:axId val="86068537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860684896"/>
        <c:crosses val="autoZero"/>
        <c:auto val="1"/>
        <c:lblAlgn val="ctr"/>
        <c:lblOffset val="100"/>
        <c:noMultiLvlLbl val="0"/>
      </c:catAx>
      <c:valAx>
        <c:axId val="860684896"/>
        <c:scaling>
          <c:orientation val="minMax"/>
        </c:scaling>
        <c:delete val="0"/>
        <c:axPos val="l"/>
        <c:majorGridlines>
          <c:spPr>
            <a:ln w="9525" cap="flat" cmpd="sng" algn="ctr">
              <a:solidFill>
                <a:schemeClr val="tx1">
                  <a:lumMod val="5000"/>
                  <a:lumOff val="9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860685376"/>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[Retail_Sales_Analytics_Project (version 2).xlsx]backend !PivotTable3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wise Sale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'backend '!$C$26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783-47FD-8145-33CF6D7977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783-47FD-8145-33CF6D79770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783-47FD-8145-33CF6D79770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783-47FD-8145-33CF6D79770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'backend '!$B$27:$B$31</c:f>
              <c:strCache>
                <c:ptCount val="4"/>
                <c:pt idx="0">
                  <c:v>East</c:v>
                </c:pt>
                <c:pt idx="1">
                  <c:v>North</c:v>
                </c:pt>
                <c:pt idx="2">
                  <c:v>South</c:v>
                </c:pt>
                <c:pt idx="3">
                  <c:v>West</c:v>
                </c:pt>
              </c:strCache>
            </c:strRef>
          </c:cat>
          <c:val>
            <c:numRef>
              <c:f>'backend '!$C$27:$C$31</c:f>
              <c:numCache>
                <c:formatCode>0.00</c:formatCode>
                <c:ptCount val="4"/>
                <c:pt idx="0">
                  <c:v>123362.66000000008</c:v>
                </c:pt>
                <c:pt idx="1">
                  <c:v>123265.84000000016</c:v>
                </c:pt>
                <c:pt idx="2">
                  <c:v>132689.11999999997</c:v>
                </c:pt>
                <c:pt idx="3">
                  <c:v>119263.71000000002</c:v>
                </c:pt>
              </c:numCache>
            </c:numRef>
          </c:val>
          <c:extLst>
            <c:ext xmlns:c16="http://schemas.microsoft.com/office/drawing/2014/chart" uri="{C3380CC4-5D6E-409C-BE32-E72D297353CC}">
              <c16:uniqueId val="{00000002-6380-451D-A15E-FA8247E1377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[Retail_Sales_Analytics_Project (version 2).xlsx]backend !PivotTable6</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Product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'backend '!$B$52</c:f>
              <c:strCache>
                <c:ptCount val="1"/>
                <c:pt idx="0">
                  <c:v>Sum of Quantity</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'backend '!$A$53:$A$63</c:f>
              <c:strCache>
                <c:ptCount val="10"/>
                <c:pt idx="0">
                  <c:v>Monitor Model-975</c:v>
                </c:pt>
                <c:pt idx="1">
                  <c:v>Laptop Model-983</c:v>
                </c:pt>
                <c:pt idx="2">
                  <c:v>Pen Model-106</c:v>
                </c:pt>
                <c:pt idx="3">
                  <c:v>Table Model-123</c:v>
                </c:pt>
                <c:pt idx="4">
                  <c:v>Binder Model-791</c:v>
                </c:pt>
                <c:pt idx="5">
                  <c:v>Chair Model-955</c:v>
                </c:pt>
                <c:pt idx="6">
                  <c:v>Pen Model-180</c:v>
                </c:pt>
                <c:pt idx="7">
                  <c:v>Bookcase Model-958</c:v>
                </c:pt>
                <c:pt idx="8">
                  <c:v>Phone Model-832</c:v>
                </c:pt>
                <c:pt idx="9">
                  <c:v>Stapler Model-820</c:v>
                </c:pt>
              </c:strCache>
            </c:strRef>
          </c:cat>
          <c:val>
            <c:numRef>
              <c:f>'backend '!$B$53:$B$63</c:f>
              <c:numCache>
                <c:formatCode>General</c:formatCode>
                <c:ptCount val="10"/>
                <c:pt idx="0">
                  <c:v>16</c:v>
                </c:pt>
                <c:pt idx="1">
                  <c:v>10</c:v>
                </c:pt>
                <c:pt idx="2">
                  <c:v>12</c:v>
                </c:pt>
                <c:pt idx="3">
                  <c:v>10</c:v>
                </c:pt>
                <c:pt idx="4">
                  <c:v>3</c:v>
                </c:pt>
                <c:pt idx="5">
                  <c:v>7</c:v>
                </c:pt>
                <c:pt idx="6">
                  <c:v>3</c:v>
                </c:pt>
                <c:pt idx="7">
                  <c:v>2</c:v>
                </c:pt>
                <c:pt idx="8">
                  <c:v>5</c:v>
                </c:pt>
                <c:pt idx="9">
                  <c:v>8</c:v>
                </c:pt>
              </c:numCache>
            </c:numRef>
          </c:val>
          <c:extLst>
            <c:ext xmlns:c16="http://schemas.microsoft.com/office/drawing/2014/chart" uri="{C3380CC4-5D6E-409C-BE32-E72D297353CC}">
              <c16:uniqueId val="{00000000-44F1-49F7-B020-9B2306F48F8C}"/>
            </c:ext>
          </c:extLst>
        </c:ser>
        <c:ser>
          <c:idx val="1"/>
          <c:order val="1"/>
          <c:tx>
            <c:strRef>
              <c:f>'backend '!$C$52</c:f>
              <c:strCache>
                <c:ptCount val="1"/>
                <c:pt idx="0">
                  <c:v>Sum of Sales</c:v>
                </c:pt>
              </c:strCache>
            </c:strRef>
          </c:tx>
          <c:spPr>
            <a:solidFill>
              <a:schemeClr val="accent2"/>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'backend '!$A$53:$A$63</c:f>
              <c:strCache>
                <c:ptCount val="10"/>
                <c:pt idx="0">
                  <c:v>Monitor Model-975</c:v>
                </c:pt>
                <c:pt idx="1">
                  <c:v>Laptop Model-983</c:v>
                </c:pt>
                <c:pt idx="2">
                  <c:v>Pen Model-106</c:v>
                </c:pt>
                <c:pt idx="3">
                  <c:v>Table Model-123</c:v>
                </c:pt>
                <c:pt idx="4">
                  <c:v>Binder Model-791</c:v>
                </c:pt>
                <c:pt idx="5">
                  <c:v>Chair Model-955</c:v>
                </c:pt>
                <c:pt idx="6">
                  <c:v>Pen Model-180</c:v>
                </c:pt>
                <c:pt idx="7">
                  <c:v>Bookcase Model-958</c:v>
                </c:pt>
                <c:pt idx="8">
                  <c:v>Phone Model-832</c:v>
                </c:pt>
                <c:pt idx="9">
                  <c:v>Stapler Model-820</c:v>
                </c:pt>
              </c:strCache>
            </c:strRef>
          </c:cat>
          <c:val>
            <c:numRef>
              <c:f>'backend '!$C$53:$C$63</c:f>
              <c:numCache>
                <c:formatCode>0.00</c:formatCode>
                <c:ptCount val="10"/>
                <c:pt idx="0">
                  <c:v>3206.52</c:v>
                </c:pt>
                <c:pt idx="1">
                  <c:v>3034.31</c:v>
                </c:pt>
                <c:pt idx="2">
                  <c:v>2301.3000000000002</c:v>
                </c:pt>
                <c:pt idx="3">
                  <c:v>1996</c:v>
                </c:pt>
                <c:pt idx="4">
                  <c:v>1995.65</c:v>
                </c:pt>
                <c:pt idx="5">
                  <c:v>1995.19</c:v>
                </c:pt>
                <c:pt idx="6">
                  <c:v>1991.69</c:v>
                </c:pt>
                <c:pt idx="7">
                  <c:v>1991.29</c:v>
                </c:pt>
                <c:pt idx="8">
                  <c:v>1990.61</c:v>
                </c:pt>
                <c:pt idx="9">
                  <c:v>1981.38</c:v>
                </c:pt>
              </c:numCache>
            </c:numRef>
          </c:val>
          <c:extLst>
            <c:ext xmlns:c16="http://schemas.microsoft.com/office/drawing/2014/chart" uri="{C3380CC4-5D6E-409C-BE32-E72D297353CC}">
              <c16:uniqueId val="{00000001-44F1-49F7-B020-9B2306F48F8C}"/>
            </c:ext>
          </c:extLst>
        </c:ser>
        <c:dLbls>
          <c:dLblPos val="outEnd"/>
          <c:showLegendKey val="0"/>
          <c:showVal val="1"/>
          <c:showCatName val="0"/>
          <c:showSerName val="0"/>
          <c:showPercent val="0"/>
          <c:showBubbleSize val="0"/>
        </c:dLbls>
        <c:gapWidth val="219"/>
        <c:overlap val="-27"/>
        <c:axId val="1439392895"/>
        <c:axId val="1439380415"/>
      </c:barChart>
      <c:catAx>
        <c:axId val="1439392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380415"/>
        <c:crosses val="autoZero"/>
        <c:auto val="1"/>
        <c:lblAlgn val="ctr"/>
        <c:lblOffset val="100"/>
        <c:noMultiLvlLbl val="0"/>
      </c:catAx>
      <c:valAx>
        <c:axId val="1439380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392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Box PLot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Box PLot</a:t>
          </a:r>
        </a:p>
      </cx:txPr>
    </cx:title>
    <cx:plotArea>
      <cx:plotAreaRegion>
        <cx:series layoutId="boxWhisker" uniqueId="{B60000D6-F320-4364-9E61-BE8D1BA15EAC}">
          <cx:tx>
            <cx:txData>
              <cx:f>_xlchart.v1.0</cx:f>
              <cx:v>Sales</cx:v>
            </cx:txData>
          </cx:tx>
          <cx:dataLabels>
            <cx:visibility seriesName="0" categoryName="0" value="1"/>
          </cx:dataLabels>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5.xml"/><Relationship Id="rId4" Type="http://schemas.openxmlformats.org/officeDocument/2006/relationships/image" Target="../media/image3.emf"/></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14</xdr:col>
      <xdr:colOff>15395</xdr:colOff>
      <xdr:row>0</xdr:row>
      <xdr:rowOff>30788</xdr:rowOff>
    </xdr:from>
    <xdr:to>
      <xdr:col>21</xdr:col>
      <xdr:colOff>480729</xdr:colOff>
      <xdr:row>17</xdr:row>
      <xdr:rowOff>53476</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2223FC30-D782-4B39-BE7C-2FB85969A83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0889135" y="30788"/>
              <a:ext cx="5281174" cy="313164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365760</xdr:colOff>
      <xdr:row>4</xdr:row>
      <xdr:rowOff>22860</xdr:rowOff>
    </xdr:from>
    <xdr:to>
      <xdr:col>17</xdr:col>
      <xdr:colOff>342900</xdr:colOff>
      <xdr:row>19</xdr:row>
      <xdr:rowOff>35291</xdr:rowOff>
    </xdr:to>
    <xdr:pic>
      <xdr:nvPicPr>
        <xdr:cNvPr id="11" name="Picture 10">
          <a:extLst>
            <a:ext uri="{FF2B5EF4-FFF2-40B4-BE49-F238E27FC236}">
              <a16:creationId xmlns:a16="http://schemas.microsoft.com/office/drawing/2014/main" id="{A4E1E099-5C48-B295-89AC-7A9C85C0B472}"/>
            </a:ext>
          </a:extLst>
        </xdr:cNvPr>
        <xdr:cNvPicPr>
          <a:picLocks noChangeAspect="1"/>
        </xdr:cNvPicPr>
      </xdr:nvPicPr>
      <xdr:blipFill>
        <a:blip xmlns:r="http://schemas.openxmlformats.org/officeDocument/2006/relationships" r:embed="rId1"/>
        <a:stretch>
          <a:fillRect/>
        </a:stretch>
      </xdr:blipFill>
      <xdr:spPr>
        <a:xfrm>
          <a:off x="6736080" y="754380"/>
          <a:ext cx="4792980" cy="2755631"/>
        </a:xfrm>
        <a:prstGeom prst="rect">
          <a:avLst/>
        </a:prstGeom>
      </xdr:spPr>
    </xdr:pic>
    <xdr:clientData/>
  </xdr:twoCellAnchor>
  <xdr:twoCellAnchor editAs="oneCell">
    <xdr:from>
      <xdr:col>1</xdr:col>
      <xdr:colOff>586740</xdr:colOff>
      <xdr:row>4</xdr:row>
      <xdr:rowOff>7620</xdr:rowOff>
    </xdr:from>
    <xdr:to>
      <xdr:col>8</xdr:col>
      <xdr:colOff>288433</xdr:colOff>
      <xdr:row>19</xdr:row>
      <xdr:rowOff>20051</xdr:rowOff>
    </xdr:to>
    <xdr:pic>
      <xdr:nvPicPr>
        <xdr:cNvPr id="13" name="Picture 12">
          <a:extLst>
            <a:ext uri="{FF2B5EF4-FFF2-40B4-BE49-F238E27FC236}">
              <a16:creationId xmlns:a16="http://schemas.microsoft.com/office/drawing/2014/main" id="{4C5441DC-6C55-9828-8B49-BEB2B6A66FB6}"/>
            </a:ext>
          </a:extLst>
        </xdr:cNvPr>
        <xdr:cNvPicPr>
          <a:picLocks noChangeAspect="1"/>
        </xdr:cNvPicPr>
      </xdr:nvPicPr>
      <xdr:blipFill>
        <a:blip xmlns:r="http://schemas.openxmlformats.org/officeDocument/2006/relationships" r:embed="rId2"/>
        <a:stretch>
          <a:fillRect/>
        </a:stretch>
      </xdr:blipFill>
      <xdr:spPr>
        <a:xfrm>
          <a:off x="1562100" y="739140"/>
          <a:ext cx="4578493" cy="2755631"/>
        </a:xfrm>
        <a:prstGeom prst="rect">
          <a:avLst/>
        </a:prstGeom>
      </xdr:spPr>
    </xdr:pic>
    <xdr:clientData/>
  </xdr:twoCellAnchor>
  <xdr:twoCellAnchor>
    <xdr:from>
      <xdr:col>6</xdr:col>
      <xdr:colOff>563880</xdr:colOff>
      <xdr:row>24</xdr:row>
      <xdr:rowOff>118110</xdr:rowOff>
    </xdr:from>
    <xdr:to>
      <xdr:col>16</xdr:col>
      <xdr:colOff>15240</xdr:colOff>
      <xdr:row>38</xdr:row>
      <xdr:rowOff>129540</xdr:rowOff>
    </xdr:to>
    <xdr:graphicFrame macro="">
      <xdr:nvGraphicFramePr>
        <xdr:cNvPr id="15" name="Chart 14">
          <a:extLst>
            <a:ext uri="{FF2B5EF4-FFF2-40B4-BE49-F238E27FC236}">
              <a16:creationId xmlns:a16="http://schemas.microsoft.com/office/drawing/2014/main" id="{EBBDBE07-294F-10E0-CCD5-B684314453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129540</xdr:colOff>
      <xdr:row>6</xdr:row>
      <xdr:rowOff>152400</xdr:rowOff>
    </xdr:from>
    <xdr:to>
      <xdr:col>2</xdr:col>
      <xdr:colOff>449580</xdr:colOff>
      <xdr:row>9</xdr:row>
      <xdr:rowOff>99060</xdr:rowOff>
    </xdr:to>
    <xdr:sp macro="" textlink="">
      <xdr:nvSpPr>
        <xdr:cNvPr id="4" name="TextBox 3">
          <a:extLst>
            <a:ext uri="{FF2B5EF4-FFF2-40B4-BE49-F238E27FC236}">
              <a16:creationId xmlns:a16="http://schemas.microsoft.com/office/drawing/2014/main" id="{A9F90B73-4A14-96BD-AA51-83A6D4EFE43E}"/>
            </a:ext>
          </a:extLst>
        </xdr:cNvPr>
        <xdr:cNvSpPr txBox="1"/>
      </xdr:nvSpPr>
      <xdr:spPr>
        <a:xfrm>
          <a:off x="129540" y="1249680"/>
          <a:ext cx="153924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400" b="0" i="0" u="none" strike="noStrike">
              <a:solidFill>
                <a:srgbClr val="000000"/>
              </a:solidFill>
              <a:latin typeface="Calibri"/>
              <a:ea typeface="Calibri"/>
              <a:cs typeface="Calibri"/>
            </a:rPr>
            <a:t>498581.33</a:t>
          </a:r>
        </a:p>
      </xdr:txBody>
    </xdr:sp>
    <xdr:clientData/>
  </xdr:twoCellAnchor>
  <xdr:twoCellAnchor>
    <xdr:from>
      <xdr:col>0</xdr:col>
      <xdr:colOff>129540</xdr:colOff>
      <xdr:row>13</xdr:row>
      <xdr:rowOff>0</xdr:rowOff>
    </xdr:from>
    <xdr:to>
      <xdr:col>2</xdr:col>
      <xdr:colOff>449580</xdr:colOff>
      <xdr:row>15</xdr:row>
      <xdr:rowOff>129540</xdr:rowOff>
    </xdr:to>
    <xdr:sp macro="" textlink="'backend '!C38">
      <xdr:nvSpPr>
        <xdr:cNvPr id="5" name="TextBox 4">
          <a:extLst>
            <a:ext uri="{FF2B5EF4-FFF2-40B4-BE49-F238E27FC236}">
              <a16:creationId xmlns:a16="http://schemas.microsoft.com/office/drawing/2014/main" id="{D48F43B3-CCB0-486B-832F-07C31D254929}"/>
            </a:ext>
          </a:extLst>
        </xdr:cNvPr>
        <xdr:cNvSpPr txBox="1"/>
      </xdr:nvSpPr>
      <xdr:spPr>
        <a:xfrm>
          <a:off x="129540" y="2377440"/>
          <a:ext cx="153924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00A9DB8-345B-45E5-AC44-C23AC4651856}" type="TxLink">
            <a:rPr lang="en-US" sz="2400" b="0" i="0" u="none" strike="noStrike">
              <a:solidFill>
                <a:srgbClr val="000000"/>
              </a:solidFill>
              <a:latin typeface="Calibri"/>
              <a:ea typeface="Calibri"/>
              <a:cs typeface="Calibri"/>
            </a:rPr>
            <a:pPr marL="0" indent="0"/>
            <a:t>68.36416</a:t>
          </a:fld>
          <a:endParaRPr lang="en-IN" sz="2400" b="0" i="0" u="none" strike="noStrike">
            <a:solidFill>
              <a:srgbClr val="000000"/>
            </a:solidFill>
            <a:latin typeface="Calibri"/>
            <a:ea typeface="Calibri"/>
            <a:cs typeface="Calibri"/>
          </a:endParaRPr>
        </a:p>
      </xdr:txBody>
    </xdr:sp>
    <xdr:clientData/>
  </xdr:twoCellAnchor>
  <xdr:twoCellAnchor>
    <xdr:from>
      <xdr:col>0</xdr:col>
      <xdr:colOff>144780</xdr:colOff>
      <xdr:row>19</xdr:row>
      <xdr:rowOff>99060</xdr:rowOff>
    </xdr:from>
    <xdr:to>
      <xdr:col>2</xdr:col>
      <xdr:colOff>464820</xdr:colOff>
      <xdr:row>22</xdr:row>
      <xdr:rowOff>45720</xdr:rowOff>
    </xdr:to>
    <xdr:sp macro="" textlink="'backend '!D38">
      <xdr:nvSpPr>
        <xdr:cNvPr id="6" name="TextBox 5">
          <a:extLst>
            <a:ext uri="{FF2B5EF4-FFF2-40B4-BE49-F238E27FC236}">
              <a16:creationId xmlns:a16="http://schemas.microsoft.com/office/drawing/2014/main" id="{A5CDA33E-BF45-4B89-B9A5-C49C88479772}"/>
            </a:ext>
          </a:extLst>
        </xdr:cNvPr>
        <xdr:cNvSpPr txBox="1"/>
      </xdr:nvSpPr>
      <xdr:spPr>
        <a:xfrm>
          <a:off x="144780" y="3573780"/>
          <a:ext cx="153924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05C70F3-EAD2-4700-819E-36EAD0CEF119}" type="TxLink">
            <a:rPr lang="en-US" sz="2400" b="0" i="0" u="none" strike="noStrike">
              <a:solidFill>
                <a:srgbClr val="000000"/>
              </a:solidFill>
              <a:latin typeface="Calibri"/>
              <a:ea typeface="Calibri"/>
              <a:cs typeface="Calibri"/>
            </a:rPr>
            <a:pPr marL="0" indent="0" algn="ctr"/>
            <a:t>500</a:t>
          </a:fld>
          <a:endParaRPr lang="en-IN" sz="2400" b="0" i="0" u="none" strike="noStrike">
            <a:solidFill>
              <a:srgbClr val="000000"/>
            </a:solidFill>
            <a:latin typeface="Calibri"/>
            <a:ea typeface="Calibri"/>
            <a:cs typeface="Calibri"/>
          </a:endParaRPr>
        </a:p>
      </xdr:txBody>
    </xdr:sp>
    <xdr:clientData/>
  </xdr:twoCellAnchor>
  <xdr:twoCellAnchor>
    <xdr:from>
      <xdr:col>0</xdr:col>
      <xdr:colOff>137160</xdr:colOff>
      <xdr:row>26</xdr:row>
      <xdr:rowOff>7620</xdr:rowOff>
    </xdr:from>
    <xdr:to>
      <xdr:col>2</xdr:col>
      <xdr:colOff>457200</xdr:colOff>
      <xdr:row>28</xdr:row>
      <xdr:rowOff>137160</xdr:rowOff>
    </xdr:to>
    <xdr:sp macro="" textlink="'backend '!E38">
      <xdr:nvSpPr>
        <xdr:cNvPr id="7" name="TextBox 6">
          <a:extLst>
            <a:ext uri="{FF2B5EF4-FFF2-40B4-BE49-F238E27FC236}">
              <a16:creationId xmlns:a16="http://schemas.microsoft.com/office/drawing/2014/main" id="{767C22F0-06CD-4507-A325-43F37620923C}"/>
            </a:ext>
          </a:extLst>
        </xdr:cNvPr>
        <xdr:cNvSpPr txBox="1"/>
      </xdr:nvSpPr>
      <xdr:spPr>
        <a:xfrm>
          <a:off x="137160" y="4762500"/>
          <a:ext cx="153924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FF6B377-DCA0-4D03-9EB8-16C8BAE2B04C}" type="TxLink">
            <a:rPr lang="en-US" sz="2400" b="0" i="0" u="none" strike="noStrike">
              <a:solidFill>
                <a:srgbClr val="000000"/>
              </a:solidFill>
              <a:latin typeface="Calibri"/>
              <a:ea typeface="Calibri"/>
              <a:cs typeface="Calibri"/>
            </a:rPr>
            <a:pPr marL="0" indent="0"/>
            <a:t>34182.08</a:t>
          </a:fld>
          <a:endParaRPr lang="en-IN" sz="2400" b="0" i="0" u="none" strike="noStrike">
            <a:solidFill>
              <a:srgbClr val="000000"/>
            </a:solidFill>
            <a:latin typeface="Calibri"/>
            <a:ea typeface="Calibri"/>
            <a:cs typeface="Calibri"/>
          </a:endParaRPr>
        </a:p>
      </xdr:txBody>
    </xdr:sp>
    <xdr:clientData/>
  </xdr:twoCellAnchor>
  <xdr:oneCellAnchor>
    <xdr:from>
      <xdr:col>1</xdr:col>
      <xdr:colOff>198120</xdr:colOff>
      <xdr:row>8</xdr:row>
      <xdr:rowOff>160020</xdr:rowOff>
    </xdr:from>
    <xdr:ext cx="184731" cy="264560"/>
    <xdr:sp macro="" textlink="">
      <xdr:nvSpPr>
        <xdr:cNvPr id="8" name="TextBox 7">
          <a:extLst>
            <a:ext uri="{FF2B5EF4-FFF2-40B4-BE49-F238E27FC236}">
              <a16:creationId xmlns:a16="http://schemas.microsoft.com/office/drawing/2014/main" id="{B160284C-9924-5066-9C8E-8FE776859189}"/>
            </a:ext>
          </a:extLst>
        </xdr:cNvPr>
        <xdr:cNvSpPr txBox="1"/>
      </xdr:nvSpPr>
      <xdr:spPr>
        <a:xfrm>
          <a:off x="807720" y="1623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144780</xdr:colOff>
      <xdr:row>5</xdr:row>
      <xdr:rowOff>68580</xdr:rowOff>
    </xdr:from>
    <xdr:to>
      <xdr:col>2</xdr:col>
      <xdr:colOff>403860</xdr:colOff>
      <xdr:row>7</xdr:row>
      <xdr:rowOff>7620</xdr:rowOff>
    </xdr:to>
    <xdr:sp macro="" textlink="">
      <xdr:nvSpPr>
        <xdr:cNvPr id="9" name="TextBox 8">
          <a:extLst>
            <a:ext uri="{FF2B5EF4-FFF2-40B4-BE49-F238E27FC236}">
              <a16:creationId xmlns:a16="http://schemas.microsoft.com/office/drawing/2014/main" id="{3C528692-BA4F-5EEF-CA1E-18F2B57A7078}"/>
            </a:ext>
          </a:extLst>
        </xdr:cNvPr>
        <xdr:cNvSpPr txBox="1"/>
      </xdr:nvSpPr>
      <xdr:spPr>
        <a:xfrm>
          <a:off x="144780" y="982980"/>
          <a:ext cx="147828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t>Total Sale</a:t>
          </a:r>
        </a:p>
      </xdr:txBody>
    </xdr:sp>
    <xdr:clientData/>
  </xdr:twoCellAnchor>
  <xdr:twoCellAnchor>
    <xdr:from>
      <xdr:col>0</xdr:col>
      <xdr:colOff>167640</xdr:colOff>
      <xdr:row>10</xdr:row>
      <xdr:rowOff>114300</xdr:rowOff>
    </xdr:from>
    <xdr:to>
      <xdr:col>2</xdr:col>
      <xdr:colOff>426720</xdr:colOff>
      <xdr:row>12</xdr:row>
      <xdr:rowOff>106680</xdr:rowOff>
    </xdr:to>
    <xdr:sp macro="" textlink="">
      <xdr:nvSpPr>
        <xdr:cNvPr id="12" name="TextBox 11">
          <a:extLst>
            <a:ext uri="{FF2B5EF4-FFF2-40B4-BE49-F238E27FC236}">
              <a16:creationId xmlns:a16="http://schemas.microsoft.com/office/drawing/2014/main" id="{AA8F0F84-587F-45E5-96DB-869913661702}"/>
            </a:ext>
          </a:extLst>
        </xdr:cNvPr>
        <xdr:cNvSpPr txBox="1"/>
      </xdr:nvSpPr>
      <xdr:spPr>
        <a:xfrm>
          <a:off x="167640" y="1943100"/>
          <a:ext cx="147828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t>Avg</a:t>
          </a:r>
          <a:r>
            <a:rPr lang="en-IN" sz="1400" baseline="0"/>
            <a:t> Profit </a:t>
          </a:r>
          <a:endParaRPr lang="en-IN" sz="1400"/>
        </a:p>
      </xdr:txBody>
    </xdr:sp>
    <xdr:clientData/>
  </xdr:twoCellAnchor>
  <xdr:twoCellAnchor>
    <xdr:from>
      <xdr:col>0</xdr:col>
      <xdr:colOff>175260</xdr:colOff>
      <xdr:row>17</xdr:row>
      <xdr:rowOff>53340</xdr:rowOff>
    </xdr:from>
    <xdr:to>
      <xdr:col>2</xdr:col>
      <xdr:colOff>434340</xdr:colOff>
      <xdr:row>19</xdr:row>
      <xdr:rowOff>45720</xdr:rowOff>
    </xdr:to>
    <xdr:sp macro="" textlink="">
      <xdr:nvSpPr>
        <xdr:cNvPr id="13" name="TextBox 12">
          <a:extLst>
            <a:ext uri="{FF2B5EF4-FFF2-40B4-BE49-F238E27FC236}">
              <a16:creationId xmlns:a16="http://schemas.microsoft.com/office/drawing/2014/main" id="{D6880F6C-EE15-4829-8945-1C508F19E3FC}"/>
            </a:ext>
          </a:extLst>
        </xdr:cNvPr>
        <xdr:cNvSpPr txBox="1"/>
      </xdr:nvSpPr>
      <xdr:spPr>
        <a:xfrm>
          <a:off x="175260" y="3162300"/>
          <a:ext cx="147828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t>Total</a:t>
          </a:r>
          <a:r>
            <a:rPr lang="en-IN" sz="1600" baseline="0"/>
            <a:t> </a:t>
          </a:r>
          <a:r>
            <a:rPr lang="en-IN" sz="1400" baseline="0"/>
            <a:t>Region</a:t>
          </a:r>
          <a:endParaRPr lang="en-IN" sz="1600"/>
        </a:p>
      </xdr:txBody>
    </xdr:sp>
    <xdr:clientData/>
  </xdr:twoCellAnchor>
  <xdr:twoCellAnchor>
    <xdr:from>
      <xdr:col>0</xdr:col>
      <xdr:colOff>182880</xdr:colOff>
      <xdr:row>23</xdr:row>
      <xdr:rowOff>99060</xdr:rowOff>
    </xdr:from>
    <xdr:to>
      <xdr:col>2</xdr:col>
      <xdr:colOff>441960</xdr:colOff>
      <xdr:row>25</xdr:row>
      <xdr:rowOff>91440</xdr:rowOff>
    </xdr:to>
    <xdr:sp macro="" textlink="">
      <xdr:nvSpPr>
        <xdr:cNvPr id="14" name="TextBox 13">
          <a:extLst>
            <a:ext uri="{FF2B5EF4-FFF2-40B4-BE49-F238E27FC236}">
              <a16:creationId xmlns:a16="http://schemas.microsoft.com/office/drawing/2014/main" id="{24D3FFA5-BC60-4141-9466-E85EC9BF8326}"/>
            </a:ext>
          </a:extLst>
        </xdr:cNvPr>
        <xdr:cNvSpPr txBox="1"/>
      </xdr:nvSpPr>
      <xdr:spPr>
        <a:xfrm>
          <a:off x="182880" y="4305300"/>
          <a:ext cx="147828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t>Total</a:t>
          </a:r>
          <a:r>
            <a:rPr lang="en-IN" sz="1400" baseline="0"/>
            <a:t> Profit</a:t>
          </a:r>
          <a:endParaRPr lang="en-IN" sz="1400"/>
        </a:p>
      </xdr:txBody>
    </xdr:sp>
    <xdr:clientData/>
  </xdr:twoCellAnchor>
  <xdr:twoCellAnchor>
    <xdr:from>
      <xdr:col>3</xdr:col>
      <xdr:colOff>137160</xdr:colOff>
      <xdr:row>3</xdr:row>
      <xdr:rowOff>106680</xdr:rowOff>
    </xdr:from>
    <xdr:to>
      <xdr:col>13</xdr:col>
      <xdr:colOff>243840</xdr:colOff>
      <xdr:row>20</xdr:row>
      <xdr:rowOff>127488</xdr:rowOff>
    </xdr:to>
    <xdr:graphicFrame macro="">
      <xdr:nvGraphicFramePr>
        <xdr:cNvPr id="15" name="Chart 14">
          <a:extLst>
            <a:ext uri="{FF2B5EF4-FFF2-40B4-BE49-F238E27FC236}">
              <a16:creationId xmlns:a16="http://schemas.microsoft.com/office/drawing/2014/main" id="{DEE142C8-D1EA-467F-9325-D2356D0AC1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68580</xdr:colOff>
      <xdr:row>3</xdr:row>
      <xdr:rowOff>129540</xdr:rowOff>
    </xdr:from>
    <xdr:to>
      <xdr:col>21</xdr:col>
      <xdr:colOff>320040</xdr:colOff>
      <xdr:row>20</xdr:row>
      <xdr:rowOff>60960</xdr:rowOff>
    </xdr:to>
    <xdr:graphicFrame macro="">
      <xdr:nvGraphicFramePr>
        <xdr:cNvPr id="16" name="Chart 15">
          <a:extLst>
            <a:ext uri="{FF2B5EF4-FFF2-40B4-BE49-F238E27FC236}">
              <a16:creationId xmlns:a16="http://schemas.microsoft.com/office/drawing/2014/main" id="{783AE5EA-671D-4CC5-834A-1878C36DAF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29</xdr:row>
      <xdr:rowOff>152400</xdr:rowOff>
    </xdr:from>
    <xdr:to>
      <xdr:col>2</xdr:col>
      <xdr:colOff>594360</xdr:colOff>
      <xdr:row>36</xdr:row>
      <xdr:rowOff>128954</xdr:rowOff>
    </xdr:to>
    <mc:AlternateContent xmlns:mc="http://schemas.openxmlformats.org/markup-compatibility/2006" xmlns:a14="http://schemas.microsoft.com/office/drawing/2010/main">
      <mc:Choice Requires="a14">
        <xdr:graphicFrame macro="">
          <xdr:nvGraphicFramePr>
            <xdr:cNvPr id="18" name="Customer Type 1">
              <a:extLst>
                <a:ext uri="{FF2B5EF4-FFF2-40B4-BE49-F238E27FC236}">
                  <a16:creationId xmlns:a16="http://schemas.microsoft.com/office/drawing/2014/main" id="{28D8436C-40A8-44CB-BEC1-A84DD91E4B39}"/>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0" y="5535246"/>
              <a:ext cx="1805745" cy="12758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37</xdr:row>
      <xdr:rowOff>58615</xdr:rowOff>
    </xdr:from>
    <xdr:to>
      <xdr:col>3</xdr:col>
      <xdr:colOff>0</xdr:colOff>
      <xdr:row>43</xdr:row>
      <xdr:rowOff>169983</xdr:rowOff>
    </xdr:to>
    <mc:AlternateContent xmlns:mc="http://schemas.openxmlformats.org/markup-compatibility/2006" xmlns:a14="http://schemas.microsoft.com/office/drawing/2010/main">
      <mc:Choice Requires="a14">
        <xdr:graphicFrame macro="">
          <xdr:nvGraphicFramePr>
            <xdr:cNvPr id="19" name="Category 1">
              <a:extLst>
                <a:ext uri="{FF2B5EF4-FFF2-40B4-BE49-F238E27FC236}">
                  <a16:creationId xmlns:a16="http://schemas.microsoft.com/office/drawing/2014/main" id="{7894AB49-DAE2-4FA0-9730-DD5E9E462F3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0" y="6926384"/>
              <a:ext cx="1817077" cy="12250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190500</xdr:colOff>
      <xdr:row>20</xdr:row>
      <xdr:rowOff>167640</xdr:rowOff>
    </xdr:from>
    <xdr:to>
      <xdr:col>13</xdr:col>
      <xdr:colOff>198120</xdr:colOff>
      <xdr:row>35</xdr:row>
      <xdr:rowOff>167640</xdr:rowOff>
    </xdr:to>
    <xdr:graphicFrame macro="">
      <xdr:nvGraphicFramePr>
        <xdr:cNvPr id="21" name="Chart 20">
          <a:extLst>
            <a:ext uri="{FF2B5EF4-FFF2-40B4-BE49-F238E27FC236}">
              <a16:creationId xmlns:a16="http://schemas.microsoft.com/office/drawing/2014/main" id="{8C8D2710-2EB7-433B-BB63-323355C230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29308</xdr:colOff>
      <xdr:row>9</xdr:row>
      <xdr:rowOff>166077</xdr:rowOff>
    </xdr:from>
    <xdr:to>
      <xdr:col>2</xdr:col>
      <xdr:colOff>58615</xdr:colOff>
      <xdr:row>9</xdr:row>
      <xdr:rowOff>175847</xdr:rowOff>
    </xdr:to>
    <xdr:cxnSp macro="">
      <xdr:nvCxnSpPr>
        <xdr:cNvPr id="26" name="Straight Connector 25">
          <a:extLst>
            <a:ext uri="{FF2B5EF4-FFF2-40B4-BE49-F238E27FC236}">
              <a16:creationId xmlns:a16="http://schemas.microsoft.com/office/drawing/2014/main" id="{E72D4F72-8127-303A-EA28-81CD7FADA08D}"/>
            </a:ext>
          </a:extLst>
        </xdr:cNvPr>
        <xdr:cNvCxnSpPr/>
      </xdr:nvCxnSpPr>
      <xdr:spPr>
        <a:xfrm flipV="1">
          <a:off x="29308" y="1836615"/>
          <a:ext cx="1240692" cy="977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16</xdr:row>
      <xdr:rowOff>35169</xdr:rowOff>
    </xdr:from>
    <xdr:to>
      <xdr:col>2</xdr:col>
      <xdr:colOff>29307</xdr:colOff>
      <xdr:row>16</xdr:row>
      <xdr:rowOff>44939</xdr:rowOff>
    </xdr:to>
    <xdr:cxnSp macro="">
      <xdr:nvCxnSpPr>
        <xdr:cNvPr id="27" name="Straight Connector 26">
          <a:extLst>
            <a:ext uri="{FF2B5EF4-FFF2-40B4-BE49-F238E27FC236}">
              <a16:creationId xmlns:a16="http://schemas.microsoft.com/office/drawing/2014/main" id="{F5F68631-FB27-4EEC-BB92-7D2FBC4AA1D0}"/>
            </a:ext>
          </a:extLst>
        </xdr:cNvPr>
        <xdr:cNvCxnSpPr/>
      </xdr:nvCxnSpPr>
      <xdr:spPr>
        <a:xfrm flipV="1">
          <a:off x="0" y="3005015"/>
          <a:ext cx="1240692" cy="977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22</xdr:row>
      <xdr:rowOff>60569</xdr:rowOff>
    </xdr:from>
    <xdr:to>
      <xdr:col>2</xdr:col>
      <xdr:colOff>29307</xdr:colOff>
      <xdr:row>22</xdr:row>
      <xdr:rowOff>70339</xdr:rowOff>
    </xdr:to>
    <xdr:cxnSp macro="">
      <xdr:nvCxnSpPr>
        <xdr:cNvPr id="28" name="Straight Connector 27">
          <a:extLst>
            <a:ext uri="{FF2B5EF4-FFF2-40B4-BE49-F238E27FC236}">
              <a16:creationId xmlns:a16="http://schemas.microsoft.com/office/drawing/2014/main" id="{7C951B1D-298C-4BA8-98D8-76FD66BC287B}"/>
            </a:ext>
          </a:extLst>
        </xdr:cNvPr>
        <xdr:cNvCxnSpPr/>
      </xdr:nvCxnSpPr>
      <xdr:spPr>
        <a:xfrm flipV="1">
          <a:off x="0" y="4144107"/>
          <a:ext cx="1240692" cy="977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15631</xdr:colOff>
      <xdr:row>28</xdr:row>
      <xdr:rowOff>125046</xdr:rowOff>
    </xdr:from>
    <xdr:to>
      <xdr:col>3</xdr:col>
      <xdr:colOff>9769</xdr:colOff>
      <xdr:row>28</xdr:row>
      <xdr:rowOff>136769</xdr:rowOff>
    </xdr:to>
    <xdr:cxnSp macro="">
      <xdr:nvCxnSpPr>
        <xdr:cNvPr id="29" name="Straight Connector 28">
          <a:extLst>
            <a:ext uri="{FF2B5EF4-FFF2-40B4-BE49-F238E27FC236}">
              <a16:creationId xmlns:a16="http://schemas.microsoft.com/office/drawing/2014/main" id="{C83C603D-B5CC-4AC5-B7C7-208B530AFC6B}"/>
            </a:ext>
          </a:extLst>
        </xdr:cNvPr>
        <xdr:cNvCxnSpPr/>
      </xdr:nvCxnSpPr>
      <xdr:spPr>
        <a:xfrm>
          <a:off x="15631" y="5322277"/>
          <a:ext cx="1811215" cy="1172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3</xdr:col>
          <xdr:colOff>39077</xdr:colOff>
          <xdr:row>36</xdr:row>
          <xdr:rowOff>87923</xdr:rowOff>
        </xdr:from>
        <xdr:to>
          <xdr:col>19</xdr:col>
          <xdr:colOff>412457</xdr:colOff>
          <xdr:row>41</xdr:row>
          <xdr:rowOff>95543</xdr:rowOff>
        </xdr:to>
        <xdr:pic>
          <xdr:nvPicPr>
            <xdr:cNvPr id="3" name="Picture 2">
              <a:extLst>
                <a:ext uri="{FF2B5EF4-FFF2-40B4-BE49-F238E27FC236}">
                  <a16:creationId xmlns:a16="http://schemas.microsoft.com/office/drawing/2014/main" id="{16915735-04A8-4158-4E96-AA47556AF1C8}"/>
                </a:ext>
              </a:extLst>
            </xdr:cNvPr>
            <xdr:cNvPicPr>
              <a:picLocks noChangeAspect="1" noChangeArrowheads="1"/>
              <a:extLst>
                <a:ext uri="{84589F7E-364E-4C9E-8A38-B11213B215E9}">
                  <a14:cameraTool cellRange="'backend '!$S$74:$AE$78" spid="_x0000_s3079"/>
                </a:ext>
              </a:extLst>
            </xdr:cNvPicPr>
          </xdr:nvPicPr>
          <xdr:blipFill>
            <a:blip xmlns:r="http://schemas.openxmlformats.org/officeDocument/2006/relationships" r:embed="rId4"/>
            <a:srcRect/>
            <a:stretch>
              <a:fillRect/>
            </a:stretch>
          </xdr:blipFill>
          <xdr:spPr bwMode="auto">
            <a:xfrm>
              <a:off x="1856154" y="6770077"/>
              <a:ext cx="10064457" cy="935697"/>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13</xdr:col>
      <xdr:colOff>332154</xdr:colOff>
      <xdr:row>19</xdr:row>
      <xdr:rowOff>146539</xdr:rowOff>
    </xdr:from>
    <xdr:to>
      <xdr:col>21</xdr:col>
      <xdr:colOff>277277</xdr:colOff>
      <xdr:row>34</xdr:row>
      <xdr:rowOff>105508</xdr:rowOff>
    </xdr:to>
    <xdr:graphicFrame macro="">
      <xdr:nvGraphicFramePr>
        <xdr:cNvPr id="10" name="Chart 9">
          <a:extLst>
            <a:ext uri="{FF2B5EF4-FFF2-40B4-BE49-F238E27FC236}">
              <a16:creationId xmlns:a16="http://schemas.microsoft.com/office/drawing/2014/main" id="{F7D0CC80-9851-476F-8649-9254D5A19D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513420</xdr:colOff>
      <xdr:row>1</xdr:row>
      <xdr:rowOff>141429</xdr:rowOff>
    </xdr:from>
    <xdr:to>
      <xdr:col>12</xdr:col>
      <xdr:colOff>608377</xdr:colOff>
      <xdr:row>18</xdr:row>
      <xdr:rowOff>182167</xdr:rowOff>
    </xdr:to>
    <xdr:graphicFrame macro="">
      <xdr:nvGraphicFramePr>
        <xdr:cNvPr id="2" name="Chart 1">
          <a:extLst>
            <a:ext uri="{FF2B5EF4-FFF2-40B4-BE49-F238E27FC236}">
              <a16:creationId xmlns:a16="http://schemas.microsoft.com/office/drawing/2014/main" id="{7977C4F6-F92C-6119-4243-E5F5778254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60960</xdr:colOff>
      <xdr:row>20</xdr:row>
      <xdr:rowOff>11430</xdr:rowOff>
    </xdr:from>
    <xdr:to>
      <xdr:col>16</xdr:col>
      <xdr:colOff>365760</xdr:colOff>
      <xdr:row>35</xdr:row>
      <xdr:rowOff>11430</xdr:rowOff>
    </xdr:to>
    <xdr:graphicFrame macro="">
      <xdr:nvGraphicFramePr>
        <xdr:cNvPr id="3" name="Chart 2">
          <a:extLst>
            <a:ext uri="{FF2B5EF4-FFF2-40B4-BE49-F238E27FC236}">
              <a16:creationId xmlns:a16="http://schemas.microsoft.com/office/drawing/2014/main" id="{A47219F0-E8D3-735C-DCFF-104DCEA1F7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140677</xdr:colOff>
      <xdr:row>25</xdr:row>
      <xdr:rowOff>73856</xdr:rowOff>
    </xdr:from>
    <xdr:to>
      <xdr:col>7</xdr:col>
      <xdr:colOff>262495</xdr:colOff>
      <xdr:row>32</xdr:row>
      <xdr:rowOff>58616</xdr:rowOff>
    </xdr:to>
    <mc:AlternateContent xmlns:mc="http://schemas.openxmlformats.org/markup-compatibility/2006" xmlns:a14="http://schemas.microsoft.com/office/drawing/2010/main">
      <mc:Choice Requires="a14">
        <xdr:graphicFrame macro="">
          <xdr:nvGraphicFramePr>
            <xdr:cNvPr id="5" name="Customer Type">
              <a:extLst>
                <a:ext uri="{FF2B5EF4-FFF2-40B4-BE49-F238E27FC236}">
                  <a16:creationId xmlns:a16="http://schemas.microsoft.com/office/drawing/2014/main" id="{5563EBCF-5EA9-4E8E-53FC-64C667BC21AD}"/>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4560277" y="4712117"/>
              <a:ext cx="1824723" cy="12834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708991</xdr:colOff>
      <xdr:row>50</xdr:row>
      <xdr:rowOff>56321</xdr:rowOff>
    </xdr:from>
    <xdr:to>
      <xdr:col>10</xdr:col>
      <xdr:colOff>397565</xdr:colOff>
      <xdr:row>65</xdr:row>
      <xdr:rowOff>16565</xdr:rowOff>
    </xdr:to>
    <xdr:graphicFrame macro="">
      <xdr:nvGraphicFramePr>
        <xdr:cNvPr id="10" name="Chart 9">
          <a:extLst>
            <a:ext uri="{FF2B5EF4-FFF2-40B4-BE49-F238E27FC236}">
              <a16:creationId xmlns:a16="http://schemas.microsoft.com/office/drawing/2014/main" id="{1A567666-1BAB-78FE-6087-5B6C61D763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86</xdr:row>
      <xdr:rowOff>0</xdr:rowOff>
    </xdr:from>
    <xdr:to>
      <xdr:col>1</xdr:col>
      <xdr:colOff>551494</xdr:colOff>
      <xdr:row>92</xdr:row>
      <xdr:rowOff>111878</xdr:rowOff>
    </xdr:to>
    <mc:AlternateContent xmlns:mc="http://schemas.openxmlformats.org/markup-compatibility/2006">
      <mc:Choice xmlns:a14="http://schemas.microsoft.com/office/drawing/2010/main" Requires="a14">
        <xdr:graphicFrame macro="">
          <xdr:nvGraphicFramePr>
            <xdr:cNvPr id="6" name="Category 2">
              <a:extLst>
                <a:ext uri="{FF2B5EF4-FFF2-40B4-BE49-F238E27FC236}">
                  <a16:creationId xmlns:a16="http://schemas.microsoft.com/office/drawing/2014/main" id="{A99BA2A2-BA40-4F38-8FC3-E06D52DF737C}"/>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0" y="15955617"/>
              <a:ext cx="1817077" cy="12250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Prerak/AppData/Roaming/Microsoft/Excel/Retail_Sales_Analytics_Project%20(version%202).xlsb"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erak" refreshedDate="45965.756000925925" createdVersion="8" refreshedVersion="8" minRefreshableVersion="3" recordCount="500" xr:uid="{02611F22-F672-4287-8CA5-A8A9F7CEE669}">
  <cacheSource type="worksheet">
    <worksheetSource ref="A1:M501" sheet="Data"/>
  </cacheSource>
  <cacheFields count="11">
    <cacheField name="Order ID" numFmtId="0">
      <sharedItems/>
    </cacheField>
    <cacheField name="Order Date" numFmtId="164">
      <sharedItems count="272">
        <s v="2023-06-17"/>
        <s v="2023-04-05"/>
        <s v="2023-01-24"/>
        <s v="2023-09-14"/>
        <s v="2023-02-09"/>
        <s v="2023-07-18"/>
        <s v="2023-07-24"/>
        <s v="2023-07-20"/>
        <s v="2023-05-05"/>
        <s v="2023-08-03"/>
        <s v="2023-03-25"/>
        <s v="2023-09-24"/>
        <s v="2023-11-27"/>
        <s v="2023-09-04"/>
        <s v="2023-06-04"/>
        <s v="2023-09-27"/>
        <s v="2023-03-02"/>
        <s v="2023-07-28"/>
        <s v="2023-07-31"/>
        <s v="2023-04-23"/>
        <s v="2023-10-23"/>
        <s v="2023-06-20"/>
        <s v="2023-08-10"/>
        <s v="2023-10-28"/>
        <s v="2023-06-28"/>
        <s v="2023-02-03"/>
        <s v="2023-02-22"/>
        <s v="2023-12-27"/>
        <s v="2023-03-01"/>
        <s v="2023-08-04"/>
        <s v="2023-01-14"/>
        <s v="2023-06-07"/>
        <s v="2023-04-13"/>
        <s v="2023-11-18"/>
        <s v="2023-03-19"/>
        <s v="2023-08-13"/>
        <s v="2023-06-23"/>
        <s v="2023-03-03"/>
        <s v="2023-07-22"/>
        <s v="2023-12-21"/>
        <s v="2023-08-11"/>
        <s v="2023-06-14"/>
        <s v="2023-12-09"/>
        <s v="2023-03-06"/>
        <s v="2023-07-11"/>
        <s v="2023-10-22"/>
        <s v="2023-11-25"/>
        <s v="2023-04-01"/>
        <s v="2023-05-12"/>
        <s v="2023-06-22"/>
        <s v="2023-10-19"/>
        <s v="2023-05-18"/>
        <s v="2023-12-12"/>
        <s v="2023-08-05"/>
        <s v="2023-11-17"/>
        <s v="2023-09-17"/>
        <s v="2023-08-31"/>
        <s v="2023-03-08"/>
        <s v="2023-06-25"/>
        <s v="2023-02-12"/>
        <s v="2023-10-12"/>
        <s v="2023-12-18"/>
        <s v="2023-10-15"/>
        <s v="2023-03-28"/>
        <s v="2023-10-13"/>
        <s v="2023-09-22"/>
        <s v="2023-12-20"/>
        <s v="2023-03-07"/>
        <s v="2023-08-30"/>
        <s v="2023-11-15"/>
        <s v="2023-05-29"/>
        <s v="2023-09-30"/>
        <s v="2023-04-28"/>
        <s v="2023-02-07"/>
        <s v="2023-04-26"/>
        <s v="2023-11-04"/>
        <s v="2023-12-25"/>
        <s v="2023-08-08"/>
        <s v="2023-01-09"/>
        <s v="2023-04-29"/>
        <s v="2023-12-07"/>
        <s v="2023-07-13"/>
        <s v="2023-07-30"/>
        <s v="2023-12-30"/>
        <s v="2023-04-04"/>
        <s v="2023-10-08"/>
        <s v="2023-05-04"/>
        <s v="2023-02-21"/>
        <s v="2023-01-25"/>
        <s v="2023-09-11"/>
        <s v="2023-01-15"/>
        <s v="2023-02-28"/>
        <s v="2023-04-02"/>
        <s v="2023-06-13"/>
        <s v="2023-02-13"/>
        <s v="2023-10-18"/>
        <s v="2023-10-27"/>
        <s v="2023-06-19"/>
        <s v="2023-09-18"/>
        <s v="2023-05-31"/>
        <s v="2023-07-21"/>
        <s v="2023-03-29"/>
        <s v="2023-01-12"/>
        <s v="2023-01-30"/>
        <s v="2023-10-05"/>
        <s v="2023-09-19"/>
        <s v="2023-04-09"/>
        <s v="2023-12-31"/>
        <s v="2023-07-17"/>
        <s v="2023-02-06"/>
        <s v="2023-08-18"/>
        <s v="2023-03-17"/>
        <s v="2023-09-06"/>
        <s v="2023-11-12"/>
        <s v="2023-10-01"/>
        <s v="2023-08-17"/>
        <s v="2023-03-27"/>
        <s v="2023-06-05"/>
        <s v="2023-10-10"/>
        <s v="2023-02-16"/>
        <s v="2023-01-01"/>
        <s v="2023-12-26"/>
        <s v="2023-10-07"/>
        <s v="2023-06-24"/>
        <s v="2023-01-26"/>
        <s v="2023-07-16"/>
        <s v="2023-10-25"/>
        <s v="2023-08-15"/>
        <s v="2023-03-23"/>
        <s v="2023-02-15"/>
        <s v="2023-04-18"/>
        <s v="2023-06-26"/>
        <s v="2023-10-26"/>
        <s v="2023-01-22"/>
        <s v="2023-11-21"/>
        <s v="2023-10-11"/>
        <s v="2023-07-29"/>
        <s v="2023-12-01"/>
        <s v="2023-10-02"/>
        <s v="2023-12-08"/>
        <s v="2023-05-01"/>
        <s v="2023-10-04"/>
        <s v="2023-10-16"/>
        <s v="2023-03-05"/>
        <s v="2023-08-23"/>
        <s v="2023-10-03"/>
        <s v="2023-09-23"/>
        <s v="2023-01-20"/>
        <s v="2023-02-01"/>
        <s v="2023-10-20"/>
        <s v="2023-11-01"/>
        <s v="2023-06-02"/>
        <s v="2023-07-12"/>
        <s v="2023-06-08"/>
        <s v="2023-10-29"/>
        <s v="2023-02-04"/>
        <s v="2023-11-26"/>
        <s v="2023-06-10"/>
        <s v="2023-12-16"/>
        <s v="2023-05-24"/>
        <s v="2023-12-04"/>
        <s v="2023-03-22"/>
        <s v="2023-03-24"/>
        <s v="2023-04-27"/>
        <s v="2023-11-22"/>
        <s v="2023-04-25"/>
        <s v="2023-03-04"/>
        <s v="2023-04-06"/>
        <s v="2023-03-21"/>
        <s v="2023-01-04"/>
        <s v="2023-04-14"/>
        <s v="2023-06-15"/>
        <s v="2023-04-11"/>
        <s v="2023-08-25"/>
        <s v="2023-08-19"/>
        <s v="2023-08-24"/>
        <s v="2023-06-30"/>
        <s v="2023-01-18"/>
        <s v="2023-07-04"/>
        <s v="2023-03-10"/>
        <s v="2023-01-19"/>
        <s v="2023-12-29"/>
        <s v="2023-07-10"/>
        <s v="2023-04-20"/>
        <s v="2023-05-23"/>
        <s v="2023-01-28"/>
        <s v="2023-09-15"/>
        <s v="2023-07-09"/>
        <s v="2023-06-12"/>
        <s v="2023-07-08"/>
        <s v="2023-01-17"/>
        <s v="2023-03-12"/>
        <s v="2023-02-14"/>
        <s v="2023-06-09"/>
        <s v="2023-04-30"/>
        <s v="2023-08-21"/>
        <s v="2023-07-14"/>
        <s v="2023-11-03"/>
        <s v="2023-01-23"/>
        <s v="2023-03-31"/>
        <s v="2023-05-27"/>
        <s v="2023-03-18"/>
        <s v="2023-01-05"/>
        <s v="2023-02-08"/>
        <s v="2023-01-27"/>
        <s v="2023-12-10"/>
        <s v="2023-07-02"/>
        <s v="2023-12-24"/>
        <s v="2023-02-25"/>
        <s v="2023-11-06"/>
        <s v="2023-06-29"/>
        <s v="2023-08-16"/>
        <s v="2023-05-03"/>
        <s v="2023-07-06"/>
        <s v="2023-07-03"/>
        <s v="2023-05-21"/>
        <s v="2023-04-07"/>
        <s v="2023-04-17"/>
        <s v="2023-12-11"/>
        <s v="2023-09-28"/>
        <s v="2023-11-29"/>
        <s v="2023-05-11"/>
        <s v="2023-09-02"/>
        <s v="2023-03-30"/>
        <s v="2023-12-22"/>
        <s v="2023-03-13"/>
        <s v="2023-12-28"/>
        <s v="2023-05-07"/>
        <s v="2023-08-27"/>
        <s v="2023-05-20"/>
        <s v="2023-07-01"/>
        <s v="2023-01-29"/>
        <s v="2023-05-19"/>
        <s v="2023-12-17"/>
        <s v="2023-11-19"/>
        <s v="2023-09-01"/>
        <s v="2023-08-22"/>
        <s v="2023-05-08"/>
        <s v="2023-11-02"/>
        <s v="2023-10-17"/>
        <s v="2023-09-13"/>
        <s v="2023-09-03"/>
        <s v="2023-02-17"/>
        <s v="2023-02-02"/>
        <s v="2023-12-03"/>
        <s v="2023-09-05"/>
        <s v="2023-05-30"/>
        <s v="2023-02-05"/>
        <s v="2023-11-09"/>
        <s v="2023-12-14"/>
        <s v="2023-11-14"/>
        <s v="2023-12-06"/>
        <s v="2023-03-16"/>
        <s v="2023-10-21"/>
        <s v="2023-05-10"/>
        <s v="2023-11-05"/>
        <s v="2023-05-28"/>
        <s v="2023-08-02"/>
        <s v="2023-01-03"/>
        <s v="2023-11-11"/>
        <s v="2023-01-31"/>
        <s v="2023-01-11"/>
        <s v="2023-09-12"/>
        <s v="2023-07-25"/>
        <s v="2023-08-12"/>
        <s v="2023-09-10"/>
        <s v="2023-03-14"/>
        <s v="2023-03-09"/>
        <s v="2023-04-24"/>
        <s v="2023-04-12"/>
        <s v="2023-11-24"/>
        <s v="2023-11-16"/>
      </sharedItems>
    </cacheField>
    <cacheField name="Region" numFmtId="0">
      <sharedItems count="4">
        <s v="East"/>
        <s v="West"/>
        <s v="South"/>
        <s v="North"/>
      </sharedItems>
    </cacheField>
    <cacheField name="Category" numFmtId="0">
      <sharedItems count="3">
        <s v="Office Supplies"/>
        <s v="Technology"/>
        <s v="Furniture"/>
      </sharedItems>
    </cacheField>
    <cacheField name="Sub-Category" numFmtId="0">
      <sharedItems/>
    </cacheField>
    <cacheField name="Product Name" numFmtId="0">
      <sharedItems count="487">
        <s v="Stapler Model-217"/>
        <s v="Printer Model-628"/>
        <s v="Printer Model-937"/>
        <s v="Binder Model-166"/>
        <s v="Stapler Model-257"/>
        <s v="Phone Model-541"/>
        <s v="Chair Model-531"/>
        <s v="Binder Model-336"/>
        <s v="Monitor Model-188"/>
        <s v="Printer Model-117"/>
        <s v="Laptop Model-306"/>
        <s v="Phone Model-683"/>
        <s v="Sofa Model-896"/>
        <s v="Table Model-293"/>
        <s v="Sofa Model-890"/>
        <s v="Table Model-396"/>
        <s v="Bookcase Model-567"/>
        <s v="Paper Model-874"/>
        <s v="Table Model-923"/>
        <s v="Chair Model-407"/>
        <s v="Laptop Model-863"/>
        <s v="Phone Model-925"/>
        <s v="Monitor Model-275"/>
        <s v="Chair Model-449"/>
        <s v="Binder Model-671"/>
        <s v="Phone Model-832"/>
        <s v="Phone Model-302"/>
        <s v="Sofa Model-862"/>
        <s v="Printer Model-415"/>
        <s v="Paper Model-341"/>
        <s v="Pen Model-876"/>
        <s v="Stapler Model-315"/>
        <s v="Laptop Model-762"/>
        <s v="Chair Model-681"/>
        <s v="Binder Model-649"/>
        <s v="Paper Model-801"/>
        <s v="Laptop Model-960"/>
        <s v="Table Model-132"/>
        <s v="Stapler Model-392"/>
        <s v="Laptop Model-214"/>
        <s v="Printer Model-989"/>
        <s v="Laptop Model-205"/>
        <s v="Sofa Model-556"/>
        <s v="Printer Model-621"/>
        <s v="Chair Model-549"/>
        <s v="Pen Model-599"/>
        <s v="Chair Model-542"/>
        <s v="Stapler Model-979"/>
        <s v="Table Model-178"/>
        <s v="Monitor Model-444"/>
        <s v="Paper Model-673"/>
        <s v="Pen Model-624"/>
        <s v="Binder Model-791"/>
        <s v="Pen Model-485"/>
        <s v="Laptop Model-278"/>
        <s v="Monitor Model-302"/>
        <s v="Paper Model-608"/>
        <s v="Pen Model-630"/>
        <s v="Laptop Model-768"/>
        <s v="Sofa Model-936"/>
        <s v="Stapler Model-465"/>
        <s v="Sofa Model-243"/>
        <s v="Table Model-149"/>
        <s v="Table Model-765"/>
        <s v="Laptop Model-124"/>
        <s v="Laptop Model-298"/>
        <s v="Pen Model-845"/>
        <s v="Bookcase Model-685"/>
        <s v="Stapler Model-273"/>
        <s v="Bookcase Model-237"/>
        <s v="Chair Model-180"/>
        <s v="Laptop Model-759"/>
        <s v="Bookcase Model-162"/>
        <s v="Printer Model-699"/>
        <s v="Table Model-213"/>
        <s v="Table Model-147"/>
        <s v="Pen Model-937"/>
        <s v="Chair Model-768"/>
        <s v="Phone Model-229"/>
        <s v="Chair Model-658"/>
        <s v="Table Model-529"/>
        <s v="Phone Model-591"/>
        <s v="Paper Model-816"/>
        <s v="Paper Model-706"/>
        <s v="Pen Model-180"/>
        <s v="Stapler Model-277"/>
        <s v="Printer Model-618"/>
        <s v="Sofa Model-305"/>
        <s v="Pen Model-802"/>
        <s v="Phone Model-578"/>
        <s v="Pen Model-141"/>
        <s v="Paper Model-922"/>
        <s v="Laptop Model-141"/>
        <s v="Stapler Model-773"/>
        <s v="Sofa Model-911"/>
        <s v="Pen Model-962"/>
        <s v="Table Model-736"/>
        <s v="Stapler Model-610"/>
        <s v="Printer Model-858"/>
        <s v="Phone Model-788"/>
        <s v="Stapler Model-949"/>
        <s v="Bookcase Model-356"/>
        <s v="Binder Model-830"/>
        <s v="Monitor Model-228"/>
        <s v="Phone Model-919"/>
        <s v="Printer Model-558"/>
        <s v="Binder Model-869"/>
        <s v="Stapler Model-312"/>
        <s v="Phone Model-315"/>
        <s v="Binder Model-464"/>
        <s v="Bookcase Model-852"/>
        <s v="Chair Model-795"/>
        <s v="Bookcase Model-802"/>
        <s v="Paper Model-976"/>
        <s v="Monitor Model-233"/>
        <s v="Stapler Model-921"/>
        <s v="Paper Model-356"/>
        <s v="Binder Model-317"/>
        <s v="Chair Model-825"/>
        <s v="Phone Model-416"/>
        <s v="Sofa Model-477"/>
        <s v="Sofa Model-988"/>
        <s v="Phone Model-513"/>
        <s v="Sofa Model-496"/>
        <s v="Sofa Model-973"/>
        <s v="Printer Model-287"/>
        <s v="Bookcase Model-201"/>
        <s v="Stapler Model-986"/>
        <s v="Paper Model-958"/>
        <s v="Table Model-276"/>
        <s v="Laptop Model-814"/>
        <s v="Binder Model-177"/>
        <s v="Bookcase Model-614"/>
        <s v="Bookcase Model-891"/>
        <s v="Pen Model-710"/>
        <s v="Printer Model-940"/>
        <s v="Paper Model-291"/>
        <s v="Sofa Model-531"/>
        <s v="Stapler Model-731"/>
        <s v="Binder Model-495"/>
        <s v="Chair Model-955"/>
        <s v="Pen Model-464"/>
        <s v="Table Model-715"/>
        <s v="Table Model-336"/>
        <s v="Laptop Model-195"/>
        <s v="Laptop Model-784"/>
        <s v="Bookcase Model-556"/>
        <s v="Chair Model-947"/>
        <s v="Binder Model-790"/>
        <s v="Chair Model-129"/>
        <s v="Table Model-745"/>
        <s v="Pen Model-942"/>
        <s v="Pen Model-533"/>
        <s v="Sofa Model-648"/>
        <s v="Sofa Model-858"/>
        <s v="Laptop Model-626"/>
        <s v="Phone Model-690"/>
        <s v="Printer Model-230"/>
        <s v="Binder Model-856"/>
        <s v="Sofa Model-235"/>
        <s v="Sofa Model-121"/>
        <s v="Bookcase Model-785"/>
        <s v="Pen Model-514"/>
        <s v="Laptop Model-321"/>
        <s v="Table Model-388"/>
        <s v="Printer Model-839"/>
        <s v="Binder Model-469"/>
        <s v="Phone Model-246"/>
        <s v="Phone Model-753"/>
        <s v="Chair Model-654"/>
        <s v="Laptop Model-608"/>
        <s v="Bookcase Model-721"/>
        <s v="Paper Model-273"/>
        <s v="Pen Model-652"/>
        <s v="Bookcase Model-335"/>
        <s v="Pen Model-587"/>
        <s v="Table Model-604"/>
        <s v="Stapler Model-243"/>
        <s v="Chair Model-913"/>
        <s v="Printer Model-894"/>
        <s v="Sofa Model-486"/>
        <s v="Stapler Model-299"/>
        <s v="Monitor Model-569"/>
        <s v="Bookcase Model-839"/>
        <s v="Bookcase Model-752"/>
        <s v="Binder Model-563"/>
        <s v="Printer Model-559"/>
        <s v="Laptop Model-120"/>
        <s v="Binder Model-706"/>
        <s v="Binder Model-668"/>
        <s v="Sofa Model-573"/>
        <s v="Pen Model-539"/>
        <s v="Laptop Model-708"/>
        <s v="Monitor Model-949"/>
        <s v="Phone Model-130"/>
        <s v="Phone Model-437"/>
        <s v="Laptop Model-316"/>
        <s v="Pen Model-801"/>
        <s v="Table Model-683"/>
        <s v="Chair Model-367"/>
        <s v="Paper Model-913"/>
        <s v="Pen Model-352"/>
        <s v="Chair Model-310"/>
        <s v="Bookcase Model-622"/>
        <s v="Laptop Model-287"/>
        <s v="Phone Model-908"/>
        <s v="Pen Model-754"/>
        <s v="Bookcase Model-649"/>
        <s v="Pen Model-657"/>
        <s v="Phone Model-664"/>
        <s v="Table Model-579"/>
        <s v="Pen Model-268"/>
        <s v="Monitor Model-975"/>
        <s v="Phone Model-669"/>
        <s v="Bookcase Model-750"/>
        <s v="Stapler Model-997"/>
        <s v="Pen Model-171"/>
        <s v="Monitor Model-330"/>
        <s v="Chair Model-176"/>
        <s v="Monitor Model-197"/>
        <s v="Paper Model-753"/>
        <s v="Chair Model-848"/>
        <s v="Pen Model-697"/>
        <s v="Table Model-448"/>
        <s v="Printer Model-583"/>
        <s v="Printer Model-364"/>
        <s v="Paper Model-866"/>
        <s v="Table Model-423"/>
        <s v="Bookcase Model-102"/>
        <s v="Bookcase Model-921"/>
        <s v="Chair Model-481"/>
        <s v="Bookcase Model-618"/>
        <s v="Phone Model-358"/>
        <s v="Printer Model-780"/>
        <s v="Monitor Model-280"/>
        <s v="Table Model-426"/>
        <s v="Stapler Model-943"/>
        <s v="Phone Model-377"/>
        <s v="Chair Model-806"/>
        <s v="Bookcase Model-663"/>
        <s v="Sofa Model-126"/>
        <s v="Laptop Model-303"/>
        <s v="Monitor Model-133"/>
        <s v="Table Model-255"/>
        <s v="Pen Model-772"/>
        <s v="Laptop Model-829"/>
        <s v="Bookcase Model-574"/>
        <s v="Stapler Model-612"/>
        <s v="Phone Model-364"/>
        <s v="Phone Model-122"/>
        <s v="Laptop Model-197"/>
        <s v="Stapler Model-420"/>
        <s v="Laptop Model-449"/>
        <s v="Chair Model-331"/>
        <s v="Printer Model-653"/>
        <s v="Chair Model-160"/>
        <s v="Monitor Model-153"/>
        <s v="Laptop Model-870"/>
        <s v="Printer Model-519"/>
        <s v="Pen Model-517"/>
        <s v="Printer Model-606"/>
        <s v="Laptop Model-983"/>
        <s v="Printer Model-407"/>
        <s v="Chair Model-651"/>
        <s v="Printer Model-684"/>
        <s v="Laptop Model-486"/>
        <s v="Phone Model-971"/>
        <s v="Stapler Model-780"/>
        <s v="Table Model-651"/>
        <s v="Paper Model-127"/>
        <s v="Table Model-194"/>
        <s v="Monitor Model-144"/>
        <s v="Printer Model-949"/>
        <s v="Bookcase Model-739"/>
        <s v="Stapler Model-753"/>
        <s v="Paper Model-473"/>
        <s v="Printer Model-512"/>
        <s v="Table Model-122"/>
        <s v="Phone Model-911"/>
        <s v="Chair Model-451"/>
        <s v="Printer Model-777"/>
        <s v="Chair Model-739"/>
        <s v="Binder Model-368"/>
        <s v="Laptop Model-583"/>
        <s v="Sofa Model-251"/>
        <s v="Table Model-376"/>
        <s v="Phone Model-410"/>
        <s v="Phone Model-996"/>
        <s v="Phone Model-532"/>
        <s v="Phone Model-929"/>
        <s v="Chair Model-661"/>
        <s v="Chair Model-144"/>
        <s v="Chair Model-935"/>
        <s v="Paper Model-677"/>
        <s v="Sofa Model-322"/>
        <s v="Laptop Model-331"/>
        <s v="Table Model-547"/>
        <s v="Phone Model-676"/>
        <s v="Binder Model-752"/>
        <s v="Printer Model-132"/>
        <s v="Binder Model-531"/>
        <s v="Pen Model-976"/>
        <s v="Stapler Model-860"/>
        <s v="Binder Model-938"/>
        <s v="Chair Model-854"/>
        <s v="Paper Model-158"/>
        <s v="Laptop Model-958"/>
        <s v="Monitor Model-327"/>
        <s v="Stapler Model-840"/>
        <s v="Sofa Model-241"/>
        <s v="Monitor Model-552"/>
        <s v="Printer Model-425"/>
        <s v="Chair Model-624"/>
        <s v="Paper Model-501"/>
        <s v="Binder Model-912"/>
        <s v="Phone Model-685"/>
        <s v="Monitor Model-741"/>
        <s v="Paper Model-184"/>
        <s v="Binder Model-162"/>
        <s v="Laptop Model-726"/>
        <s v="Chair Model-619"/>
        <s v="Stapler Model-869"/>
        <s v="Chair Model-308"/>
        <s v="Binder Model-992"/>
        <s v="Monitor Model-417"/>
        <s v="Stapler Model-883"/>
        <s v="Printer Model-430"/>
        <s v="Bookcase Model-958"/>
        <s v="Bookcase Model-286"/>
        <s v="Chair Model-809"/>
        <s v="Printer Model-508"/>
        <s v="Pen Model-936"/>
        <s v="Monitor Model-124"/>
        <s v="Bookcase Model-938"/>
        <s v="Printer Model-584"/>
        <s v="Sofa Model-457"/>
        <s v="Laptop Model-512"/>
        <s v="Stapler Model-601"/>
        <s v="Laptop Model-106"/>
        <s v="Phone Model-668"/>
        <s v="Chair Model-978"/>
        <s v="Binder Model-758"/>
        <s v="Paper Model-300"/>
        <s v="Phone Model-469"/>
        <s v="Binder Model-249"/>
        <s v="Paper Model-584"/>
        <s v="Pen Model-597"/>
        <s v="Laptop Model-519"/>
        <s v="Binder Model-789"/>
        <s v="Paper Model-871"/>
        <s v="Binder Model-713"/>
        <s v="Printer Model-233"/>
        <s v="Sofa Model-193"/>
        <s v="Stapler Model-941"/>
        <s v="Table Model-599"/>
        <s v="Table Model-974"/>
        <s v="Sofa Model-684"/>
        <s v="Table Model-331"/>
        <s v="Table Model-549"/>
        <s v="Binder Model-635"/>
        <s v="Table Model-235"/>
        <s v="Paper Model-824"/>
        <s v="Printer Model-209"/>
        <s v="Phone Model-745"/>
        <s v="Binder Model-274"/>
        <s v="Printer Model-259"/>
        <s v="Table Model-824"/>
        <s v="Laptop Model-465"/>
        <s v="Stapler Model-220"/>
        <s v="Printer Model-197"/>
        <s v="Bookcase Model-926"/>
        <s v="Phone Model-275"/>
        <s v="Phone Model-622"/>
        <s v="Monitor Model-346"/>
        <s v="Laptop Model-314"/>
        <s v="Bookcase Model-997"/>
        <s v="Binder Model-358"/>
        <s v="Phone Model-926"/>
        <s v="Binder Model-605"/>
        <s v="Binder Model-781"/>
        <s v="Chair Model-457"/>
        <s v="Stapler Model-820"/>
        <s v="Sofa Model-439"/>
        <s v="Laptop Model-976"/>
        <s v="Binder Model-533"/>
        <s v="Table Model-883"/>
        <s v="Laptop Model-194"/>
        <s v="Pen Model-422"/>
        <s v="Binder Model-435"/>
        <s v="Monitor Model-794"/>
        <s v="Table Model-912"/>
        <s v="Chair Model-399"/>
        <s v="Bookcase Model-477"/>
        <s v="Laptop Model-558"/>
        <s v="Stapler Model-394"/>
        <s v="Pen Model-106"/>
        <s v="Table Model-158"/>
        <s v="Printer Model-268"/>
        <s v="Binder Model-127"/>
        <s v="Bookcase Model-569"/>
        <s v="Paper Model-388"/>
        <s v="Phone Model-517"/>
        <s v="Sofa Model-651"/>
        <s v="Pen Model-974"/>
        <s v="Pen Model-199"/>
        <s v="Bookcase Model-180"/>
        <s v="Chair Model-143"/>
        <s v="Pen Model-964"/>
        <s v="Bookcase Model-627"/>
        <s v="Table Model-955"/>
        <s v="Paper Model-192"/>
        <s v="Binder Model-930"/>
        <s v="Phone Model-292"/>
        <s v="Table Model-965"/>
        <s v="Stapler Model-677"/>
        <s v="Printer Model-136"/>
        <s v="Printer Model-474"/>
        <s v="Sofa Model-170"/>
        <s v="Chair Model-638"/>
        <s v="Printer Model-561"/>
        <s v="Sofa Model-989"/>
        <s v="Paper Model-627"/>
        <s v="Binder Model-216"/>
        <s v="Binder Model-478"/>
        <s v="Chair Model-434"/>
        <s v="Sofa Model-877"/>
        <s v="Binder Model-350"/>
        <s v="Paper Model-437"/>
        <s v="Printer Model-129"/>
        <s v="Pen Model-552"/>
        <s v="Bookcase Model-879"/>
        <s v="Stapler Model-894"/>
        <s v="Monitor Model-294"/>
        <s v="Table Model-829"/>
        <s v="Paper Model-250"/>
        <s v="Table Model-860"/>
        <s v="Phone Model-350"/>
        <s v="Pen Model-525"/>
        <s v="Monitor Model-568"/>
        <s v="Monitor Model-296"/>
        <s v="Stapler Model-276"/>
        <s v="Printer Model-298"/>
        <s v="Paper Model-242"/>
        <s v="Phone Model-128"/>
        <s v="Laptop Model-515"/>
        <s v="Monitor Model-991"/>
        <s v="Paper Model-754"/>
        <s v="Stapler Model-208"/>
        <s v="Bookcase Model-580"/>
        <s v="Pen Model-665"/>
        <s v="Stapler Model-335"/>
        <s v="Sofa Model-225"/>
        <s v="Laptop Model-122"/>
        <s v="Pen Model-392"/>
        <s v="Pen Model-819"/>
        <s v="Bookcase Model-411"/>
        <s v="Chair Model-319"/>
        <s v="Pen Model-996"/>
        <s v="Binder Model-315"/>
        <s v="Binder Model-175"/>
        <s v="Binder Model-150"/>
        <s v="Binder Model-921"/>
        <s v="Printer Model-829"/>
        <s v="Sofa Model-221"/>
        <s v="Table Model-669"/>
        <s v="Stapler Model-836"/>
        <s v="Paper Model-199"/>
        <s v="Phone Model-842"/>
        <s v="Pen Model-340"/>
        <s v="Sofa Model-341"/>
        <s v="Printer Model-443"/>
        <s v="Laptop Model-730"/>
        <s v="Table Model-241"/>
        <s v="Paper Model-173"/>
        <s v="Table Model-123"/>
        <s v="Monitor Model-974"/>
        <s v="Binder Model-263"/>
        <s v="Stapler Model-331"/>
        <s v="Phone Model-391"/>
        <s v="Phone Model-580"/>
        <s v="Table Model-835"/>
        <s v="Chair Model-149"/>
        <s v="Printer Model-410"/>
        <s v="Chair Model-741"/>
        <s v="Stapler Model-406"/>
        <s v="Paper Model-424"/>
        <s v="Laptop Model-867"/>
      </sharedItems>
    </cacheField>
    <cacheField name="Sales" numFmtId="0">
      <sharedItems containsSemiMixedTypes="0" containsString="0" containsNumber="1" minValue="52.02" maxValue="1996"/>
    </cacheField>
    <cacheField name="Quantity" numFmtId="0">
      <sharedItems containsSemiMixedTypes="0" containsString="0" containsNumber="1" containsInteger="1" minValue="1" maxValue="10"/>
    </cacheField>
    <cacheField name="Discount" numFmtId="0">
      <sharedItems containsSemiMixedTypes="0" containsString="0" containsNumber="1" minValue="0" maxValue="0.2"/>
    </cacheField>
    <cacheField name="Profit" numFmtId="0">
      <sharedItems containsSemiMixedTypes="0" containsString="0" containsNumber="1" minValue="-222.89" maxValue="545.75"/>
    </cacheField>
    <cacheField name="Customer Type" numFmtId="0">
      <sharedItems count="3">
        <s v="Home Office"/>
        <s v="Consumer"/>
        <s v="Corporate"/>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erak" refreshedDate="45966.563956828701" createdVersion="8" refreshedVersion="8" minRefreshableVersion="3" recordCount="500" xr:uid="{20026022-04D8-489C-9C60-062BCDE735EE}">
  <cacheSource type="worksheet">
    <worksheetSource ref="A1:L501" sheet="Sheet9" r:id="rId2"/>
  </cacheSource>
  <cacheFields count="12">
    <cacheField name="Order ID" numFmtId="0">
      <sharedItems/>
    </cacheField>
    <cacheField name="Order Date" numFmtId="164">
      <sharedItems/>
    </cacheField>
    <cacheField name="Month" numFmtId="164">
      <sharedItems containsDate="1" containsMixedTypes="1" minDate="1900-01-05T00:00:00" maxDate="1900-01-06T00:00:00" count="13">
        <d v="1900-01-05T00:00:00"/>
        <s v="April"/>
        <s v="January"/>
        <s v="September"/>
        <s v="February"/>
        <s v="July"/>
        <s v="May"/>
        <s v="August"/>
        <s v="March"/>
        <s v="November"/>
        <s v="June"/>
        <s v="October"/>
        <s v="December"/>
      </sharedItems>
    </cacheField>
    <cacheField name="Region" numFmtId="0">
      <sharedItems/>
    </cacheField>
    <cacheField name="Category" numFmtId="0">
      <sharedItems/>
    </cacheField>
    <cacheField name="Sub-Category" numFmtId="0">
      <sharedItems/>
    </cacheField>
    <cacheField name="Product Name" numFmtId="0">
      <sharedItems/>
    </cacheField>
    <cacheField name="Sales" numFmtId="0">
      <sharedItems containsSemiMixedTypes="0" containsString="0" containsNumber="1" minValue="52.02" maxValue="1996"/>
    </cacheField>
    <cacheField name="Quantity" numFmtId="0">
      <sharedItems containsSemiMixedTypes="0" containsString="0" containsNumber="1" containsInteger="1" minValue="1" maxValue="10"/>
    </cacheField>
    <cacheField name="Discount" numFmtId="0">
      <sharedItems containsSemiMixedTypes="0" containsString="0" containsNumber="1" minValue="0" maxValue="0.2"/>
    </cacheField>
    <cacheField name="Profit" numFmtId="2">
      <sharedItems containsSemiMixedTypes="0" containsString="0" containsNumber="1" minValue="-222.89" maxValue="545.75"/>
    </cacheField>
    <cacheField name="Customer Type"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erak" refreshedDate="45967.652615046296" createdVersion="8" refreshedVersion="8" minRefreshableVersion="3" recordCount="500" xr:uid="{231FB009-CC47-4013-ACCF-D0DC5734C0C3}">
  <cacheSource type="worksheet">
    <worksheetSource ref="B1:M501" sheet="Data"/>
  </cacheSource>
  <cacheFields count="12">
    <cacheField name="Order Date" numFmtId="164">
      <sharedItems/>
    </cacheField>
    <cacheField name="Month" numFmtId="164">
      <sharedItems count="12">
        <s v="June"/>
        <s v="April"/>
        <s v="January"/>
        <s v="September"/>
        <s v="February"/>
        <s v="July"/>
        <s v="May"/>
        <s v="August"/>
        <s v="March"/>
        <s v="November"/>
        <s v="October"/>
        <s v="December"/>
      </sharedItems>
    </cacheField>
    <cacheField name="Region" numFmtId="49">
      <sharedItems count="4">
        <s v="East"/>
        <s v="West"/>
        <s v="South"/>
        <s v="North"/>
      </sharedItems>
    </cacheField>
    <cacheField name="Category" numFmtId="0">
      <sharedItems count="3">
        <s v="Office Supplies"/>
        <s v="Technology"/>
        <s v="Furniture"/>
      </sharedItems>
    </cacheField>
    <cacheField name="Sub-Category" numFmtId="0">
      <sharedItems containsBlank="1" count="13">
        <s v="Stapler"/>
        <s v="Printer"/>
        <s v="Binder"/>
        <s v="Phone"/>
        <s v="Chair"/>
        <s v="Monitor"/>
        <s v="Laptop"/>
        <s v="Sofa"/>
        <s v="Table"/>
        <s v="Bookcase"/>
        <s v="Paper"/>
        <s v="Pen"/>
        <m/>
      </sharedItems>
    </cacheField>
    <cacheField name="Product Name" numFmtId="49">
      <sharedItems count="487">
        <s v="Stapler Model-217"/>
        <s v="Printer Model-628"/>
        <s v="Printer Model-937"/>
        <s v="Binder Model-166"/>
        <s v="Stapler Model-257"/>
        <s v="Phone Model-541"/>
        <s v="Chair Model-531"/>
        <s v="Binder Model-336"/>
        <s v="Monitor Model-188"/>
        <s v="Printer Model-117"/>
        <s v="Laptop Model-306"/>
        <s v="Phone Model-683"/>
        <s v="Sofa Model-896"/>
        <s v="Table Model-293"/>
        <s v="Sofa Model-890"/>
        <s v="Table Model-396"/>
        <s v="Bookcase Model-567"/>
        <s v="Paper Model-874"/>
        <s v="Table Model-923"/>
        <s v="Chair Model-407"/>
        <s v="Laptop Model-863"/>
        <s v="Phone Model-925"/>
        <s v="Monitor Model-275"/>
        <s v="Chair Model-449"/>
        <s v="Binder Model-671"/>
        <s v="Phone Model-832"/>
        <s v="Phone Model-302"/>
        <s v="Sofa Model-862"/>
        <s v="Printer Model-415"/>
        <s v="Paper Model-341"/>
        <s v="Pen Model-876"/>
        <s v="Stapler Model-315"/>
        <s v="Laptop Model-762"/>
        <s v="Chair Model-681"/>
        <s v="Binder Model-649"/>
        <s v="Paper Model-801"/>
        <s v="Laptop Model-960"/>
        <s v="Table Model-132"/>
        <s v="Stapler Model-392"/>
        <s v="Laptop Model-214"/>
        <s v="Printer Model-989"/>
        <s v="Laptop Model-205"/>
        <s v="Sofa Model-556"/>
        <s v="Printer Model-621"/>
        <s v="Chair Model-549"/>
        <s v="Pen Model-599"/>
        <s v="Chair Model-542"/>
        <s v="Stapler Model-979"/>
        <s v="Table Model-178"/>
        <s v="Monitor Model-444"/>
        <s v="Paper Model-673"/>
        <s v="Pen Model-624"/>
        <s v="Binder Model-791"/>
        <s v="Pen Model-485"/>
        <s v="Laptop Model-278"/>
        <s v="Monitor Model-302"/>
        <s v="Paper Model-608"/>
        <s v="Pen Model-630"/>
        <s v="Laptop Model-768"/>
        <s v="Sofa Model-936"/>
        <s v="Stapler Model-465"/>
        <s v="Sofa Model-243"/>
        <s v="Table Model-149"/>
        <s v="Table Model-765"/>
        <s v="Laptop Model-124"/>
        <s v="Laptop Model-298"/>
        <s v="Pen Model-845"/>
        <s v="Bookcase Model-685"/>
        <s v="Stapler Model-273"/>
        <s v="Bookcase Model-237"/>
        <s v="Chair Model-180"/>
        <s v="Laptop Model-759"/>
        <s v="Bookcase Model-162"/>
        <s v="Printer Model-699"/>
        <s v="Table Model-213"/>
        <s v="Table Model-147"/>
        <s v="Pen Model-937"/>
        <s v="Chair Model-768"/>
        <s v="Phone Model-229"/>
        <s v="Chair Model-658"/>
        <s v="Table Model-529"/>
        <s v="Phone Model-591"/>
        <s v="Paper Model-816"/>
        <s v="Paper Model-706"/>
        <s v="Pen Model-180"/>
        <s v="Stapler Model-277"/>
        <s v="Printer Model-618"/>
        <s v="Sofa Model-305"/>
        <s v="Pen Model-802"/>
        <s v="Phone Model-578"/>
        <s v="Pen Model-141"/>
        <s v="Paper Model-922"/>
        <s v="Laptop Model-141"/>
        <s v="Stapler Model-773"/>
        <s v="Sofa Model-911"/>
        <s v="Pen Model-962"/>
        <s v="Table Model-736"/>
        <s v="Stapler Model-610"/>
        <s v="Printer Model-858"/>
        <s v="Phone Model-788"/>
        <s v="Stapler Model-949"/>
        <s v="Bookcase Model-356"/>
        <s v="Binder Model-830"/>
        <s v="Monitor Model-228"/>
        <s v="Phone Model-919"/>
        <s v="Printer Model-558"/>
        <s v="Binder Model-869"/>
        <s v="Stapler Model-312"/>
        <s v="Phone Model-315"/>
        <s v="Binder Model-464"/>
        <s v="Bookcase Model-852"/>
        <s v="Chair Model-795"/>
        <s v="Bookcase Model-802"/>
        <s v="Paper Model-976"/>
        <s v="Monitor Model-233"/>
        <s v="Stapler Model-921"/>
        <s v="Paper Model-356"/>
        <s v="Binder Model-317"/>
        <s v="Chair Model-825"/>
        <s v="Phone Model-416"/>
        <s v="Sofa Model-477"/>
        <s v="Sofa Model-988"/>
        <s v="Phone Model-513"/>
        <s v="Sofa Model-496"/>
        <s v="Sofa Model-973"/>
        <s v="Printer Model-287"/>
        <s v="Bookcase Model-201"/>
        <s v="Stapler Model-986"/>
        <s v="Paper Model-958"/>
        <s v="Table Model-276"/>
        <s v="Laptop Model-814"/>
        <s v="Binder Model-177"/>
        <s v="Bookcase Model-614"/>
        <s v="Bookcase Model-891"/>
        <s v="Pen Model-710"/>
        <s v="Printer Model-940"/>
        <s v="Paper Model-291"/>
        <s v="Sofa Model-531"/>
        <s v="Stapler Model-731"/>
        <s v="Binder Model-495"/>
        <s v="Chair Model-955"/>
        <s v="Pen Model-464"/>
        <s v="Table Model-715"/>
        <s v="Table Model-336"/>
        <s v="Laptop Model-195"/>
        <s v="Laptop Model-784"/>
        <s v="Bookcase Model-556"/>
        <s v="Chair Model-947"/>
        <s v="Binder Model-790"/>
        <s v="Chair Model-129"/>
        <s v="Table Model-745"/>
        <s v="Pen Model-942"/>
        <s v="Pen Model-533"/>
        <s v="Sofa Model-648"/>
        <s v="Sofa Model-858"/>
        <s v="Laptop Model-626"/>
        <s v="Phone Model-690"/>
        <s v="Printer Model-230"/>
        <s v="Binder Model-856"/>
        <s v="Sofa Model-235"/>
        <s v="Sofa Model-121"/>
        <s v="Bookcase Model-785"/>
        <s v="Pen Model-514"/>
        <s v="Laptop Model-321"/>
        <s v="Table Model-388"/>
        <s v="Printer Model-839"/>
        <s v="Binder Model-469"/>
        <s v="Phone Model-246"/>
        <s v="Phone Model-753"/>
        <s v="Chair Model-654"/>
        <s v="Laptop Model-608"/>
        <s v="Bookcase Model-721"/>
        <s v="Paper Model-273"/>
        <s v="Pen Model-652"/>
        <s v="Bookcase Model-335"/>
        <s v="Pen Model-587"/>
        <s v="Table Model-604"/>
        <s v="Stapler Model-243"/>
        <s v="Chair Model-913"/>
        <s v="Printer Model-894"/>
        <s v="Sofa Model-486"/>
        <s v="Stapler Model-299"/>
        <s v="Monitor Model-569"/>
        <s v="Bookcase Model-839"/>
        <s v="Bookcase Model-752"/>
        <s v="Binder Model-563"/>
        <s v="Printer Model-559"/>
        <s v="Laptop Model-120"/>
        <s v="Binder Model-706"/>
        <s v="Binder Model-668"/>
        <s v="Sofa Model-573"/>
        <s v="Pen Model-539"/>
        <s v="Laptop Model-708"/>
        <s v="Monitor Model-949"/>
        <s v="Phone Model-130"/>
        <s v="Phone Model-437"/>
        <s v="Laptop Model-316"/>
        <s v="Pen Model-801"/>
        <s v="Table Model-683"/>
        <s v="Chair Model-367"/>
        <s v="Paper Model-913"/>
        <s v="Pen Model-352"/>
        <s v="Chair Model-310"/>
        <s v="Bookcase Model-622"/>
        <s v="Laptop Model-287"/>
        <s v="Phone Model-908"/>
        <s v="Pen Model-754"/>
        <s v="Bookcase Model-649"/>
        <s v="Pen Model-657"/>
        <s v="Phone Model-664"/>
        <s v="Table Model-579"/>
        <s v="Pen Model-268"/>
        <s v="Monitor Model-975"/>
        <s v="Phone Model-669"/>
        <s v="Bookcase Model-750"/>
        <s v="Stapler Model-997"/>
        <s v="Pen Model-171"/>
        <s v="Monitor Model-330"/>
        <s v="Chair Model-176"/>
        <s v="Monitor Model-197"/>
        <s v="Paper Model-753"/>
        <s v="Chair Model-848"/>
        <s v="Pen Model-697"/>
        <s v="Table Model-448"/>
        <s v="Printer Model-583"/>
        <s v="Printer Model-364"/>
        <s v="Paper Model-866"/>
        <s v="Table Model-423"/>
        <s v="Bookcase Model-102"/>
        <s v="Bookcase Model-921"/>
        <s v="Chair Model-481"/>
        <s v="Bookcase Model-618"/>
        <s v="Phone Model-358"/>
        <s v="Printer Model-780"/>
        <s v="Monitor Model-280"/>
        <s v="Table Model-426"/>
        <s v="Stapler Model-943"/>
        <s v="Phone Model-377"/>
        <s v="Chair Model-806"/>
        <s v="Bookcase Model-663"/>
        <s v="Sofa Model-126"/>
        <s v="Laptop Model-303"/>
        <s v="Monitor Model-133"/>
        <s v="Table Model-255"/>
        <s v="Pen Model-772"/>
        <s v="Laptop Model-829"/>
        <s v="Bookcase Model-574"/>
        <s v="Stapler Model-612"/>
        <s v="Phone Model-364"/>
        <s v="Phone Model-122"/>
        <s v="Laptop Model-197"/>
        <s v="Stapler Model-420"/>
        <s v="Laptop Model-449"/>
        <s v="Chair Model-331"/>
        <s v="Printer Model-653"/>
        <s v="Chair Model-160"/>
        <s v="Monitor Model-153"/>
        <s v="Laptop Model-870"/>
        <s v="Printer Model-519"/>
        <s v="Pen Model-517"/>
        <s v="Printer Model-606"/>
        <s v="Laptop Model-983"/>
        <s v="Printer Model-407"/>
        <s v="Chair Model-651"/>
        <s v="Printer Model-684"/>
        <s v="Laptop Model-486"/>
        <s v="Phone Model-971"/>
        <s v="Stapler Model-780"/>
        <s v="Table Model-651"/>
        <s v="Paper Model-127"/>
        <s v="Table Model-194"/>
        <s v="Monitor Model-144"/>
        <s v="Printer Model-949"/>
        <s v="Bookcase Model-739"/>
        <s v="Stapler Model-753"/>
        <s v="Paper Model-473"/>
        <s v="Printer Model-512"/>
        <s v="Table Model-122"/>
        <s v="Phone Model-911"/>
        <s v="Chair Model-451"/>
        <s v="Printer Model-777"/>
        <s v="Chair Model-739"/>
        <s v="Binder Model-368"/>
        <s v="Laptop Model-583"/>
        <s v="Sofa Model-251"/>
        <s v="Table Model-376"/>
        <s v="Phone Model-410"/>
        <s v="Phone Model-996"/>
        <s v="Phone Model-532"/>
        <s v="Phone Model-929"/>
        <s v="Chair Model-661"/>
        <s v="Chair Model-144"/>
        <s v="Chair Model-935"/>
        <s v="Paper Model-677"/>
        <s v="Sofa Model-322"/>
        <s v="Laptop Model-331"/>
        <s v="Table Model-547"/>
        <s v="Phone Model-676"/>
        <s v="Binder Model-752"/>
        <s v="Printer Model-132"/>
        <s v="Binder Model-531"/>
        <s v="Pen Model-976"/>
        <s v="Stapler Model-860"/>
        <s v="Binder Model-938"/>
        <s v="Chair Model-854"/>
        <s v="Paper Model-158"/>
        <s v="Laptop Model-958"/>
        <s v="Monitor Model-327"/>
        <s v="Stapler Model-840"/>
        <s v="Sofa Model-241"/>
        <s v="Monitor Model-552"/>
        <s v="Printer Model-425"/>
        <s v="Chair Model-624"/>
        <s v="Paper Model-501"/>
        <s v="Binder Model-912"/>
        <s v="Phone Model-685"/>
        <s v="Monitor Model-741"/>
        <s v="Paper Model-184"/>
        <s v="Binder Model-162"/>
        <s v="Laptop Model-726"/>
        <s v="Chair Model-619"/>
        <s v="Stapler Model-869"/>
        <s v="Chair Model-308"/>
        <s v="Binder Model-992"/>
        <s v="Monitor Model-417"/>
        <s v="Stapler Model-883"/>
        <s v="Printer Model-430"/>
        <s v="Bookcase Model-958"/>
        <s v="Bookcase Model-286"/>
        <s v="Chair Model-809"/>
        <s v="Printer Model-508"/>
        <s v="Pen Model-936"/>
        <s v="Monitor Model-124"/>
        <s v="Bookcase Model-938"/>
        <s v="Printer Model-584"/>
        <s v="Sofa Model-457"/>
        <s v="Laptop Model-512"/>
        <s v="Stapler Model-601"/>
        <s v="Laptop Model-106"/>
        <s v="Phone Model-668"/>
        <s v="Chair Model-978"/>
        <s v="Binder Model-758"/>
        <s v="Paper Model-300"/>
        <s v="Phone Model-469"/>
        <s v="Binder Model-249"/>
        <s v="Paper Model-584"/>
        <s v="Pen Model-597"/>
        <s v="Laptop Model-519"/>
        <s v="Binder Model-789"/>
        <s v="Paper Model-871"/>
        <s v="Binder Model-713"/>
        <s v="Printer Model-233"/>
        <s v="Sofa Model-193"/>
        <s v="Stapler Model-941"/>
        <s v="Table Model-599"/>
        <s v="Table Model-974"/>
        <s v="Sofa Model-684"/>
        <s v="Table Model-331"/>
        <s v="Table Model-549"/>
        <s v="Binder Model-635"/>
        <s v="Table Model-235"/>
        <s v="Paper Model-824"/>
        <s v="Printer Model-209"/>
        <s v="Phone Model-745"/>
        <s v="Binder Model-274"/>
        <s v="Printer Model-259"/>
        <s v="Table Model-824"/>
        <s v="Laptop Model-465"/>
        <s v="Stapler Model-220"/>
        <s v="Printer Model-197"/>
        <s v="Bookcase Model-926"/>
        <s v="Phone Model-275"/>
        <s v="Phone Model-622"/>
        <s v="Monitor Model-346"/>
        <s v="Laptop Model-314"/>
        <s v="Bookcase Model-997"/>
        <s v="Binder Model-358"/>
        <s v="Phone Model-926"/>
        <s v="Binder Model-605"/>
        <s v="Binder Model-781"/>
        <s v="Chair Model-457"/>
        <s v="Stapler Model-820"/>
        <s v="Sofa Model-439"/>
        <s v="Laptop Model-976"/>
        <s v="Binder Model-533"/>
        <s v="Table Model-883"/>
        <s v="Laptop Model-194"/>
        <s v="Pen Model-422"/>
        <s v="Binder Model-435"/>
        <s v="Monitor Model-794"/>
        <s v="Table Model-912"/>
        <s v="Chair Model-399"/>
        <s v="Bookcase Model-477"/>
        <s v="Laptop Model-558"/>
        <s v="Stapler Model-394"/>
        <s v="Pen Model-106"/>
        <s v="Table Model-158"/>
        <s v="Printer Model-268"/>
        <s v="Binder Model-127"/>
        <s v="Bookcase Model-569"/>
        <s v="Paper Model-388"/>
        <s v="Phone Model-517"/>
        <s v="Sofa Model-651"/>
        <s v="Pen Model-974"/>
        <s v="Pen Model-199"/>
        <s v="Bookcase Model-180"/>
        <s v="Chair Model-143"/>
        <s v="Pen Model-964"/>
        <s v="Bookcase Model-627"/>
        <s v="Table Model-955"/>
        <s v="Paper Model-192"/>
        <s v="Binder Model-930"/>
        <s v="Phone Model-292"/>
        <s v="Table Model-965"/>
        <s v="Stapler Model-677"/>
        <s v="Printer Model-136"/>
        <s v="Printer Model-474"/>
        <s v="Sofa Model-170"/>
        <s v="Chair Model-638"/>
        <s v="Printer Model-561"/>
        <s v="Sofa Model-989"/>
        <s v="Paper Model-627"/>
        <s v="Binder Model-216"/>
        <s v="Binder Model-478"/>
        <s v="Chair Model-434"/>
        <s v="Sofa Model-877"/>
        <s v="Binder Model-350"/>
        <s v="Paper Model-437"/>
        <s v="Printer Model-129"/>
        <s v="Pen Model-552"/>
        <s v="Bookcase Model-879"/>
        <s v="Stapler Model-894"/>
        <s v="Monitor Model-294"/>
        <s v="Table Model-829"/>
        <s v="Paper Model-250"/>
        <s v="Table Model-860"/>
        <s v="Phone Model-350"/>
        <s v="Pen Model-525"/>
        <s v="Monitor Model-568"/>
        <s v="Monitor Model-296"/>
        <s v="Stapler Model-276"/>
        <s v="Printer Model-298"/>
        <s v="Paper Model-242"/>
        <s v="Phone Model-128"/>
        <s v="Laptop Model-515"/>
        <s v="Monitor Model-991"/>
        <s v="Paper Model-754"/>
        <s v="Stapler Model-208"/>
        <s v="Bookcase Model-580"/>
        <s v="Pen Model-665"/>
        <s v="Stapler Model-335"/>
        <s v="Sofa Model-225"/>
        <s v="Laptop Model-122"/>
        <s v="Pen Model-392"/>
        <s v="Pen Model-819"/>
        <s v="Bookcase Model-411"/>
        <s v="Chair Model-319"/>
        <s v="Pen Model-996"/>
        <s v="Binder Model-315"/>
        <s v="Binder Model-175"/>
        <s v="Binder Model-150"/>
        <s v="Binder Model-921"/>
        <s v="Printer Model-829"/>
        <s v="Sofa Model-221"/>
        <s v="Table Model-669"/>
        <s v="Stapler Model-836"/>
        <s v="Paper Model-199"/>
        <s v="Phone Model-842"/>
        <s v="Pen Model-340"/>
        <s v="Sofa Model-341"/>
        <s v="Printer Model-443"/>
        <s v="Laptop Model-730"/>
        <s v="Table Model-241"/>
        <s v="Paper Model-173"/>
        <s v="Table Model-123"/>
        <s v="Monitor Model-974"/>
        <s v="Binder Model-263"/>
        <s v="Stapler Model-331"/>
        <s v="Phone Model-391"/>
        <s v="Phone Model-580"/>
        <s v="Table Model-835"/>
        <s v="Chair Model-149"/>
        <s v="Printer Model-410"/>
        <s v="Chair Model-741"/>
        <s v="Stapler Model-406"/>
        <s v="Paper Model-424"/>
        <s v="Laptop Model-867"/>
      </sharedItems>
    </cacheField>
    <cacheField name="Sales" numFmtId="2">
      <sharedItems containsSemiMixedTypes="0" containsString="0" containsNumber="1" minValue="52.02" maxValue="1996" count="500">
        <n v="939.29"/>
        <n v="120.25"/>
        <n v="706.1"/>
        <n v="669.02"/>
        <n v="1920.14"/>
        <n v="1058.54"/>
        <n v="1171.1199999999999"/>
        <n v="1044.52"/>
        <n v="644.08000000000004"/>
        <n v="854.51"/>
        <n v="604.76"/>
        <n v="1783.63"/>
        <n v="887.31"/>
        <n v="1887.78"/>
        <n v="1141.98"/>
        <n v="142.13"/>
        <n v="320.69"/>
        <n v="440.45"/>
        <n v="545.57000000000005"/>
        <n v="1957.63"/>
        <n v="110.63"/>
        <n v="1061.76"/>
        <n v="1293.3399999999999"/>
        <n v="1215.31"/>
        <n v="531.03"/>
        <n v="1990.61"/>
        <n v="1096.6500000000001"/>
        <n v="517.61"/>
        <n v="152.88"/>
        <n v="1742.66"/>
        <n v="567.23"/>
        <n v="611.9"/>
        <n v="1839.96"/>
        <n v="1795.83"/>
        <n v="1893.59"/>
        <n v="847.33"/>
        <n v="1777.11"/>
        <n v="1436.59"/>
        <n v="819.42"/>
        <n v="1411.03"/>
        <n v="1212.1500000000001"/>
        <n v="1395.22"/>
        <n v="1012.86"/>
        <n v="1861.21"/>
        <n v="1221.42"/>
        <n v="774.07"/>
        <n v="1490.62"/>
        <n v="188.89"/>
        <n v="1577.39"/>
        <n v="1303.2"/>
        <n v="1206.1600000000001"/>
        <n v="1204.53"/>
        <n v="1995.65"/>
        <n v="388.53"/>
        <n v="63"/>
        <n v="962.45"/>
        <n v="371.3"/>
        <n v="1529.21"/>
        <n v="723.81"/>
        <n v="1077.53"/>
        <n v="1810.9"/>
        <n v="1685.28"/>
        <n v="1816.17"/>
        <n v="1753.49"/>
        <n v="727.24"/>
        <n v="1623.98"/>
        <n v="1266.4000000000001"/>
        <n v="71.569999999999993"/>
        <n v="1857.93"/>
        <n v="162.04"/>
        <n v="1685.85"/>
        <n v="333.13"/>
        <n v="1585.03"/>
        <n v="1491.57"/>
        <n v="830.3"/>
        <n v="683.45"/>
        <n v="1580.16"/>
        <n v="437.48"/>
        <n v="542.17999999999995"/>
        <n v="554.46"/>
        <n v="1766.84"/>
        <n v="914.25"/>
        <n v="1683.62"/>
        <n v="1763.79"/>
        <n v="64.81"/>
        <n v="1991.69"/>
        <n v="1367.21"/>
        <n v="1755.49"/>
        <n v="1442.35"/>
        <n v="1423.75"/>
        <n v="1335.69"/>
        <n v="927.48"/>
        <n v="1540.88"/>
        <n v="146.85"/>
        <n v="1226.22"/>
        <n v="891.67"/>
        <n v="578.1"/>
        <n v="402.82"/>
        <n v="648.70000000000005"/>
        <n v="445.59"/>
        <n v="1931.57"/>
        <n v="553.01"/>
        <n v="1705.43"/>
        <n v="1231.0999999999999"/>
        <n v="1426.42"/>
        <n v="1841.55"/>
        <n v="1168.52"/>
        <n v="585.32000000000005"/>
        <n v="1942.59"/>
        <n v="489.5"/>
        <n v="1096.25"/>
        <n v="789.85"/>
        <n v="1647.24"/>
        <n v="660.73"/>
        <n v="746.29"/>
        <n v="744.74"/>
        <n v="698.66"/>
        <n v="660.28"/>
        <n v="90.76"/>
        <n v="124.45"/>
        <n v="1141.68"/>
        <n v="1598.76"/>
        <n v="80.27"/>
        <n v="264.51"/>
        <n v="282.92"/>
        <n v="1543.21"/>
        <n v="1117.78"/>
        <n v="1704.61"/>
        <n v="63.92"/>
        <n v="1592.66"/>
        <n v="1946.61"/>
        <n v="1626.31"/>
        <n v="134.72999999999999"/>
        <n v="624.4"/>
        <n v="1413.84"/>
        <n v="207.11"/>
        <n v="1446.14"/>
        <n v="358.86"/>
        <n v="106.16"/>
        <n v="1603.55"/>
        <n v="1056.67"/>
        <n v="1995.19"/>
        <n v="562.48"/>
        <n v="1588.83"/>
        <n v="500.01"/>
        <n v="1537.47"/>
        <n v="1413.65"/>
        <n v="86.34"/>
        <n v="1359.7"/>
        <n v="1245.1600000000001"/>
        <n v="559.08000000000004"/>
        <n v="669.94"/>
        <n v="837.33"/>
        <n v="1223.92"/>
        <n v="1398.31"/>
        <n v="1095.8"/>
        <n v="1841.18"/>
        <n v="576.97"/>
        <n v="602.12"/>
        <n v="925.2"/>
        <n v="1310.7"/>
        <n v="93.74"/>
        <n v="587.46"/>
        <n v="733.44"/>
        <n v="689.41"/>
        <n v="356.11"/>
        <n v="1017.65"/>
        <n v="407.87"/>
        <n v="156.5"/>
        <n v="800.7"/>
        <n v="778.01"/>
        <n v="476.17"/>
        <n v="215.93"/>
        <n v="1046.21"/>
        <n v="1969.98"/>
        <n v="294.11"/>
        <n v="1377.61"/>
        <n v="790.02"/>
        <n v="984.04"/>
        <n v="1548.45"/>
        <n v="1538.77"/>
        <n v="1173.51"/>
        <n v="407.98"/>
        <n v="853.64"/>
        <n v="596.01"/>
        <n v="1776.37"/>
        <n v="428.92"/>
        <n v="1037.83"/>
        <n v="1841.02"/>
        <n v="375.46"/>
        <n v="201.04"/>
        <n v="1157.77"/>
        <n v="646.19000000000005"/>
        <n v="1370.37"/>
        <n v="920.7"/>
        <n v="1733.25"/>
        <n v="1460.76"/>
        <n v="228.95"/>
        <n v="1567.59"/>
        <n v="667.77"/>
        <n v="186.45"/>
        <n v="817.28"/>
        <n v="1911.02"/>
        <n v="642.91999999999996"/>
        <n v="1280.1300000000001"/>
        <n v="495.66"/>
        <n v="231.45"/>
        <n v="191.3"/>
        <n v="894.73"/>
        <n v="992.71"/>
        <n v="1642.19"/>
        <n v="1168.58"/>
        <n v="313.95"/>
        <n v="1099.77"/>
        <n v="1510.47"/>
        <n v="1064.8"/>
        <n v="316.88"/>
        <n v="1799.75"/>
        <n v="690.28"/>
        <n v="1384.39"/>
        <n v="249.63"/>
        <n v="1524.96"/>
        <n v="1447.92"/>
        <n v="1095.6500000000001"/>
        <n v="474.78"/>
        <n v="1063.02"/>
        <n v="843.05"/>
        <n v="1214.71"/>
        <n v="1243.8"/>
        <n v="985.21"/>
        <n v="1278.6500000000001"/>
        <n v="100.57"/>
        <n v="1870.46"/>
        <n v="1090.92"/>
        <n v="584.05999999999995"/>
        <n v="1579.72"/>
        <n v="1680.04"/>
        <n v="342.78"/>
        <n v="1380.18"/>
        <n v="149.47999999999999"/>
        <n v="701.7"/>
        <n v="1551.19"/>
        <n v="1771.65"/>
        <n v="104.99"/>
        <n v="917.72"/>
        <n v="1484.02"/>
        <n v="321.19"/>
        <n v="454.44"/>
        <n v="910.53"/>
        <n v="1378.64"/>
        <n v="1323.68"/>
        <n v="168.27"/>
        <n v="1451.61"/>
        <n v="1244.69"/>
        <n v="855.41"/>
        <n v="388.34"/>
        <n v="78.430000000000007"/>
        <n v="331.32"/>
        <n v="450.64"/>
        <n v="419.05"/>
        <n v="1042.25"/>
        <n v="1034.56"/>
        <n v="1362.52"/>
        <n v="1647"/>
        <n v="634.46"/>
        <n v="910.04"/>
        <n v="536.61"/>
        <n v="390.82"/>
        <n v="1102.27"/>
        <n v="1379.51"/>
        <n v="1018.89"/>
        <n v="1391.85"/>
        <n v="1408.5"/>
        <n v="229.58"/>
        <n v="1875.93"/>
        <n v="1546.89"/>
        <n v="358.37"/>
        <n v="1119.1099999999999"/>
        <n v="856.21"/>
        <n v="1351.04"/>
        <n v="1430.66"/>
        <n v="887.56"/>
        <n v="229.47"/>
        <n v="186.28"/>
        <n v="1310.23"/>
        <n v="1603.58"/>
        <n v="894.81"/>
        <n v="308.42"/>
        <n v="557.88"/>
        <n v="1149.3499999999999"/>
        <n v="1526.21"/>
        <n v="1042.45"/>
        <n v="1103.45"/>
        <n v="1770.08"/>
        <n v="371.99"/>
        <n v="182.52"/>
        <n v="881.17"/>
        <n v="431.25"/>
        <n v="334.41"/>
        <n v="259.27"/>
        <n v="187.32"/>
        <n v="1920.91"/>
        <n v="1704.02"/>
        <n v="920.6"/>
        <n v="808.35"/>
        <n v="1758.46"/>
        <n v="973.14"/>
        <n v="564.22"/>
        <n v="1561.99"/>
        <n v="1394.07"/>
        <n v="311.36"/>
        <n v="629.44000000000005"/>
        <n v="342.82"/>
        <n v="1835.4"/>
        <n v="1573.08"/>
        <n v="377.21"/>
        <n v="886.87"/>
        <n v="674.96"/>
        <n v="1607.62"/>
        <n v="615.83000000000004"/>
        <n v="710.44"/>
        <n v="939.36"/>
        <n v="1631.16"/>
        <n v="934.61"/>
        <n v="1745.82"/>
        <n v="485.97"/>
        <n v="1366.57"/>
        <n v="1899.4"/>
        <n v="815.32"/>
        <n v="1467.1"/>
        <n v="1991.29"/>
        <n v="1975.41"/>
        <n v="1301.23"/>
        <n v="143.88999999999999"/>
        <n v="1799.02"/>
        <n v="995.22"/>
        <n v="926.55"/>
        <n v="1671.79"/>
        <n v="1495.32"/>
        <n v="1134.69"/>
        <n v="631.26"/>
        <n v="765.19"/>
        <n v="434.64"/>
        <n v="1943.58"/>
        <n v="1340.05"/>
        <n v="1482.2"/>
        <n v="371.59"/>
        <n v="1036.07"/>
        <n v="975"/>
        <n v="1276.9100000000001"/>
        <n v="910.02"/>
        <n v="893.81"/>
        <n v="1907.42"/>
        <n v="753.64"/>
        <n v="1301.17"/>
        <n v="1150.98"/>
        <n v="61.83"/>
        <n v="100.28"/>
        <n v="1503.22"/>
        <n v="129.33000000000001"/>
        <n v="1556.69"/>
        <n v="1598.85"/>
        <n v="904.39"/>
        <n v="235.01"/>
        <n v="1148.83"/>
        <n v="1649.39"/>
        <n v="847.77"/>
        <n v="577.38"/>
        <n v="974.77"/>
        <n v="52.02"/>
        <n v="720.99"/>
        <n v="1353"/>
        <n v="1212.96"/>
        <n v="437.61"/>
        <n v="1063.45"/>
        <n v="1886.27"/>
        <n v="742.86"/>
        <n v="639.03"/>
        <n v="1371.41"/>
        <n v="828.77"/>
        <n v="1357.88"/>
        <n v="853.11"/>
        <n v="129.93"/>
        <n v="1951.6"/>
        <n v="1117.99"/>
        <n v="801.7"/>
        <n v="1131.44"/>
        <n v="1981.38"/>
        <n v="301.70999999999998"/>
        <n v="635.85"/>
        <n v="1161.5899999999999"/>
        <n v="511.24"/>
        <n v="1283.6600000000001"/>
        <n v="1831.42"/>
        <n v="752.73"/>
        <n v="1327.14"/>
        <n v="510.57"/>
        <n v="1865.18"/>
        <n v="1501.53"/>
        <n v="212.03"/>
        <n v="1193.55"/>
        <n v="1940.92"/>
        <n v="462.73"/>
        <n v="690.76"/>
        <n v="1598.36"/>
        <n v="415.9"/>
        <n v="1770.44"/>
        <n v="121.49"/>
        <n v="1095.22"/>
        <n v="110.28"/>
        <n v="593.21"/>
        <n v="1520.62"/>
        <n v="349.43"/>
        <n v="924.98"/>
        <n v="1509.87"/>
        <n v="1592.97"/>
        <n v="746.6"/>
        <n v="685.92"/>
        <n v="1207.02"/>
        <n v="891.22"/>
        <n v="542.01"/>
        <n v="156.32"/>
        <n v="253.75"/>
        <n v="1388.07"/>
        <n v="1027.49"/>
        <n v="1866.7"/>
        <n v="470.39"/>
        <n v="1077.19"/>
        <n v="517.33000000000004"/>
        <n v="279.12"/>
        <n v="1441.11"/>
        <n v="1800.18"/>
        <n v="1751.26"/>
        <n v="1838.57"/>
        <n v="1348.63"/>
        <n v="712.81"/>
        <n v="336.56"/>
        <n v="754.73"/>
        <n v="196.52"/>
        <n v="1261"/>
        <n v="552.91999999999996"/>
        <n v="204.63"/>
        <n v="1973.94"/>
        <n v="777.93"/>
        <n v="953.89"/>
        <n v="863.13"/>
        <n v="1350.42"/>
        <n v="914.84"/>
        <n v="328.19"/>
        <n v="1717.82"/>
        <n v="1293.1099999999999"/>
        <n v="782.28"/>
        <n v="108.96"/>
        <n v="322.64999999999998"/>
        <n v="1755.31"/>
        <n v="1494.71"/>
        <n v="1206.77"/>
        <n v="310.82"/>
        <n v="1808.77"/>
        <n v="1179.01"/>
        <n v="525.74"/>
        <n v="1878.55"/>
        <n v="1328.16"/>
        <n v="429.89"/>
        <n v="1819.2"/>
        <n v="181.53"/>
        <n v="386.19"/>
        <n v="852.67"/>
        <n v="841.73"/>
        <n v="1172.8800000000001"/>
        <n v="1199.68"/>
        <n v="1383.93"/>
        <n v="584.36"/>
        <n v="1238.06"/>
        <n v="1922.9"/>
        <n v="475.44"/>
        <n v="1245.3499999999999"/>
        <n v="402.96"/>
        <n v="1006.15"/>
        <n v="1217.97"/>
        <n v="495.96"/>
        <n v="66.8"/>
        <n v="1196.71"/>
        <n v="1036.6099999999999"/>
        <n v="1086.3399999999999"/>
        <n v="640.57000000000005"/>
        <n v="1996"/>
        <n v="529.95000000000005"/>
        <n v="536.98"/>
        <n v="1225.07"/>
        <n v="1531.2"/>
        <n v="499.1"/>
        <n v="361.92"/>
        <n v="398.19"/>
        <n v="1223.58"/>
        <n v="900.25"/>
        <n v="1152.19"/>
        <n v="329.15"/>
        <n v="1306.75"/>
        <n v="1153.7"/>
      </sharedItems>
    </cacheField>
    <cacheField name="Cost" numFmtId="2">
      <sharedItems containsSemiMixedTypes="0" containsString="0" containsNumber="1" minValue="52.980000000000004" maxValue="2089.67"/>
    </cacheField>
    <cacheField name="Quantity" numFmtId="0">
      <sharedItems containsSemiMixedTypes="0" containsString="0" containsNumber="1" containsInteger="1" minValue="1" maxValue="10"/>
    </cacheField>
    <cacheField name="Discount" numFmtId="0">
      <sharedItems containsSemiMixedTypes="0" containsString="0" containsNumber="1" minValue="0" maxValue="0.2"/>
    </cacheField>
    <cacheField name="Profit" numFmtId="2">
      <sharedItems containsSemiMixedTypes="0" containsString="0" containsNumber="1" minValue="-222.89" maxValue="545.75"/>
    </cacheField>
    <cacheField name="Customer Type" numFmtId="0">
      <sharedItems count="3">
        <s v="Home Office"/>
        <s v="Consumer"/>
        <s v="Corporate"/>
      </sharedItems>
    </cacheField>
  </cacheFields>
  <extLst>
    <ext xmlns:x14="http://schemas.microsoft.com/office/spreadsheetml/2009/9/main" uri="{725AE2AE-9491-48be-B2B4-4EB974FC3084}">
      <x14:pivotCacheDefinition pivotCacheId="9678181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1001"/>
    <x v="0"/>
    <x v="0"/>
    <x v="0"/>
    <s v="Stapler"/>
    <x v="0"/>
    <n v="939.29"/>
    <n v="9"/>
    <n v="0.05"/>
    <n v="2.5"/>
    <x v="0"/>
  </r>
  <r>
    <s v="ORD-1002"/>
    <x v="1"/>
    <x v="1"/>
    <x v="1"/>
    <s v="Printer"/>
    <x v="1"/>
    <n v="120.25"/>
    <n v="6"/>
    <n v="0"/>
    <n v="31.33"/>
    <x v="1"/>
  </r>
  <r>
    <s v="ORD-1003"/>
    <x v="2"/>
    <x v="2"/>
    <x v="1"/>
    <s v="Printer"/>
    <x v="2"/>
    <n v="706.1"/>
    <n v="4"/>
    <n v="0.15"/>
    <n v="91.85"/>
    <x v="0"/>
  </r>
  <r>
    <s v="ORD-1004"/>
    <x v="3"/>
    <x v="1"/>
    <x v="0"/>
    <s v="Binder"/>
    <x v="3"/>
    <n v="669.02"/>
    <n v="1"/>
    <n v="0.1"/>
    <n v="86.37"/>
    <x v="0"/>
  </r>
  <r>
    <s v="ORD-1005"/>
    <x v="4"/>
    <x v="2"/>
    <x v="0"/>
    <s v="Stapler"/>
    <x v="4"/>
    <n v="1920.14"/>
    <n v="6"/>
    <n v="0.15"/>
    <n v="252.83"/>
    <x v="2"/>
  </r>
  <r>
    <s v="ORD-1006"/>
    <x v="5"/>
    <x v="1"/>
    <x v="1"/>
    <s v="Phone"/>
    <x v="5"/>
    <n v="1058.54"/>
    <n v="3"/>
    <n v="0.05"/>
    <n v="252.93"/>
    <x v="1"/>
  </r>
  <r>
    <s v="ORD-1007"/>
    <x v="6"/>
    <x v="3"/>
    <x v="2"/>
    <s v="Chair"/>
    <x v="6"/>
    <n v="1171.1199999999999"/>
    <n v="10"/>
    <n v="0.15"/>
    <n v="-107.33"/>
    <x v="0"/>
  </r>
  <r>
    <s v="ORD-1008"/>
    <x v="7"/>
    <x v="1"/>
    <x v="0"/>
    <s v="Binder"/>
    <x v="7"/>
    <n v="1044.52"/>
    <n v="1"/>
    <n v="0.1"/>
    <n v="4.32"/>
    <x v="0"/>
  </r>
  <r>
    <s v="ORD-1009"/>
    <x v="8"/>
    <x v="1"/>
    <x v="1"/>
    <s v="Monitor"/>
    <x v="8"/>
    <n v="644.08000000000004"/>
    <n v="3"/>
    <n v="0.15"/>
    <n v="-47.44"/>
    <x v="1"/>
  </r>
  <r>
    <s v="ORD-1010"/>
    <x v="9"/>
    <x v="1"/>
    <x v="1"/>
    <s v="Printer"/>
    <x v="9"/>
    <n v="854.51"/>
    <n v="7"/>
    <n v="0.1"/>
    <n v="114.35"/>
    <x v="0"/>
  </r>
  <r>
    <s v="ORD-1011"/>
    <x v="10"/>
    <x v="2"/>
    <x v="1"/>
    <s v="Laptop"/>
    <x v="10"/>
    <n v="604.76"/>
    <n v="8"/>
    <n v="0.1"/>
    <n v="-14.51"/>
    <x v="1"/>
  </r>
  <r>
    <s v="ORD-1012"/>
    <x v="11"/>
    <x v="0"/>
    <x v="1"/>
    <s v="Phone"/>
    <x v="11"/>
    <n v="1783.63"/>
    <n v="4"/>
    <n v="0.2"/>
    <n v="95.72"/>
    <x v="2"/>
  </r>
  <r>
    <s v="ORD-1013"/>
    <x v="12"/>
    <x v="3"/>
    <x v="2"/>
    <s v="Sofa"/>
    <x v="12"/>
    <n v="887.31"/>
    <n v="3"/>
    <n v="0"/>
    <n v="204.65"/>
    <x v="2"/>
  </r>
  <r>
    <s v="ORD-1014"/>
    <x v="13"/>
    <x v="3"/>
    <x v="2"/>
    <s v="Table"/>
    <x v="13"/>
    <n v="1887.78"/>
    <n v="8"/>
    <n v="0.2"/>
    <n v="-42"/>
    <x v="0"/>
  </r>
  <r>
    <s v="ORD-1015"/>
    <x v="14"/>
    <x v="3"/>
    <x v="2"/>
    <s v="Sofa"/>
    <x v="14"/>
    <n v="1141.98"/>
    <n v="2"/>
    <n v="0.05"/>
    <n v="50.38"/>
    <x v="2"/>
  </r>
  <r>
    <s v="ORD-1016"/>
    <x v="15"/>
    <x v="2"/>
    <x v="2"/>
    <s v="Table"/>
    <x v="15"/>
    <n v="142.13"/>
    <n v="7"/>
    <n v="0.1"/>
    <n v="24.1"/>
    <x v="1"/>
  </r>
  <r>
    <s v="ORD-1017"/>
    <x v="16"/>
    <x v="1"/>
    <x v="2"/>
    <s v="Bookcase"/>
    <x v="16"/>
    <n v="320.69"/>
    <n v="10"/>
    <n v="0.05"/>
    <n v="3.82"/>
    <x v="2"/>
  </r>
  <r>
    <s v="ORD-1018"/>
    <x v="17"/>
    <x v="1"/>
    <x v="0"/>
    <s v="Paper"/>
    <x v="17"/>
    <n v="440.45"/>
    <n v="9"/>
    <n v="0.15"/>
    <n v="-15.99"/>
    <x v="0"/>
  </r>
  <r>
    <s v="ORD-1019"/>
    <x v="18"/>
    <x v="2"/>
    <x v="2"/>
    <s v="Table"/>
    <x v="18"/>
    <n v="545.57000000000005"/>
    <n v="9"/>
    <n v="0.1"/>
    <n v="64.61"/>
    <x v="2"/>
  </r>
  <r>
    <s v="ORD-1020"/>
    <x v="19"/>
    <x v="3"/>
    <x v="2"/>
    <s v="Chair"/>
    <x v="19"/>
    <n v="1957.63"/>
    <n v="3"/>
    <n v="0.2"/>
    <n v="133.24"/>
    <x v="0"/>
  </r>
  <r>
    <s v="ORD-1021"/>
    <x v="20"/>
    <x v="0"/>
    <x v="1"/>
    <s v="Laptop"/>
    <x v="20"/>
    <n v="110.63"/>
    <n v="1"/>
    <n v="0.2"/>
    <n v="-8.59"/>
    <x v="2"/>
  </r>
  <r>
    <s v="ORD-1022"/>
    <x v="21"/>
    <x v="2"/>
    <x v="1"/>
    <s v="Phone"/>
    <x v="21"/>
    <n v="1061.76"/>
    <n v="10"/>
    <n v="0.05"/>
    <n v="33.81"/>
    <x v="1"/>
  </r>
  <r>
    <s v="ORD-1023"/>
    <x v="22"/>
    <x v="0"/>
    <x v="1"/>
    <s v="Monitor"/>
    <x v="22"/>
    <n v="1293.3399999999999"/>
    <n v="6"/>
    <n v="0.15"/>
    <n v="187.33"/>
    <x v="0"/>
  </r>
  <r>
    <s v="ORD-1024"/>
    <x v="23"/>
    <x v="3"/>
    <x v="2"/>
    <s v="Chair"/>
    <x v="23"/>
    <n v="1215.31"/>
    <n v="6"/>
    <n v="0.15"/>
    <n v="113.79"/>
    <x v="1"/>
  </r>
  <r>
    <s v="ORD-1025"/>
    <x v="24"/>
    <x v="0"/>
    <x v="0"/>
    <s v="Binder"/>
    <x v="24"/>
    <n v="531.03"/>
    <n v="1"/>
    <n v="0.05"/>
    <n v="70.010000000000005"/>
    <x v="1"/>
  </r>
  <r>
    <s v="ORD-1026"/>
    <x v="25"/>
    <x v="0"/>
    <x v="1"/>
    <s v="Phone"/>
    <x v="25"/>
    <n v="1990.61"/>
    <n v="5"/>
    <n v="0.15"/>
    <n v="-89.79"/>
    <x v="1"/>
  </r>
  <r>
    <s v="ORD-1027"/>
    <x v="26"/>
    <x v="1"/>
    <x v="1"/>
    <s v="Phone"/>
    <x v="26"/>
    <n v="1096.6500000000001"/>
    <n v="9"/>
    <n v="0.1"/>
    <n v="0.96"/>
    <x v="1"/>
  </r>
  <r>
    <s v="ORD-1028"/>
    <x v="27"/>
    <x v="3"/>
    <x v="2"/>
    <s v="Sofa"/>
    <x v="27"/>
    <n v="517.61"/>
    <n v="10"/>
    <n v="0.2"/>
    <n v="-72.709999999999994"/>
    <x v="0"/>
  </r>
  <r>
    <s v="ORD-1029"/>
    <x v="28"/>
    <x v="3"/>
    <x v="1"/>
    <s v="Printer"/>
    <x v="28"/>
    <n v="152.88"/>
    <n v="8"/>
    <n v="0.2"/>
    <n v="-19.48"/>
    <x v="0"/>
  </r>
  <r>
    <s v="ORD-1030"/>
    <x v="29"/>
    <x v="3"/>
    <x v="0"/>
    <s v="Paper"/>
    <x v="29"/>
    <n v="1742.66"/>
    <n v="2"/>
    <n v="0"/>
    <n v="370.73"/>
    <x v="0"/>
  </r>
  <r>
    <s v="ORD-1031"/>
    <x v="30"/>
    <x v="1"/>
    <x v="0"/>
    <s v="Pen"/>
    <x v="30"/>
    <n v="567.23"/>
    <n v="10"/>
    <n v="0.1"/>
    <n v="65.239999999999995"/>
    <x v="0"/>
  </r>
  <r>
    <s v="ORD-1032"/>
    <x v="31"/>
    <x v="1"/>
    <x v="0"/>
    <s v="Stapler"/>
    <x v="31"/>
    <n v="611.9"/>
    <n v="10"/>
    <n v="0.05"/>
    <n v="136.63999999999999"/>
    <x v="2"/>
  </r>
  <r>
    <s v="ORD-1033"/>
    <x v="32"/>
    <x v="2"/>
    <x v="1"/>
    <s v="Laptop"/>
    <x v="32"/>
    <n v="1839.96"/>
    <n v="3"/>
    <n v="0.2"/>
    <n v="-123.42"/>
    <x v="0"/>
  </r>
  <r>
    <s v="ORD-1034"/>
    <x v="33"/>
    <x v="0"/>
    <x v="2"/>
    <s v="Chair"/>
    <x v="33"/>
    <n v="1795.83"/>
    <n v="3"/>
    <n v="0.15"/>
    <n v="-174.78"/>
    <x v="1"/>
  </r>
  <r>
    <s v="ORD-1035"/>
    <x v="34"/>
    <x v="1"/>
    <x v="0"/>
    <s v="Binder"/>
    <x v="34"/>
    <n v="1893.59"/>
    <n v="8"/>
    <n v="0.15"/>
    <n v="-160.47"/>
    <x v="0"/>
  </r>
  <r>
    <s v="ORD-1036"/>
    <x v="35"/>
    <x v="2"/>
    <x v="0"/>
    <s v="Paper"/>
    <x v="35"/>
    <n v="847.33"/>
    <n v="3"/>
    <n v="0.1"/>
    <n v="-26.89"/>
    <x v="1"/>
  </r>
  <r>
    <s v="ORD-1037"/>
    <x v="36"/>
    <x v="2"/>
    <x v="1"/>
    <s v="Laptop"/>
    <x v="36"/>
    <n v="1777.11"/>
    <n v="9"/>
    <n v="0.15"/>
    <n v="-1.36"/>
    <x v="1"/>
  </r>
  <r>
    <s v="ORD-1038"/>
    <x v="37"/>
    <x v="1"/>
    <x v="2"/>
    <s v="Table"/>
    <x v="37"/>
    <n v="1436.59"/>
    <n v="3"/>
    <n v="0"/>
    <n v="316.05"/>
    <x v="1"/>
  </r>
  <r>
    <s v="ORD-1039"/>
    <x v="38"/>
    <x v="2"/>
    <x v="0"/>
    <s v="Stapler"/>
    <x v="38"/>
    <n v="819.42"/>
    <n v="8"/>
    <n v="0.15"/>
    <n v="118.82"/>
    <x v="2"/>
  </r>
  <r>
    <s v="ORD-1040"/>
    <x v="39"/>
    <x v="3"/>
    <x v="1"/>
    <s v="Laptop"/>
    <x v="39"/>
    <n v="1411.03"/>
    <n v="1"/>
    <n v="0.2"/>
    <n v="-200.38"/>
    <x v="2"/>
  </r>
  <r>
    <s v="ORD-1041"/>
    <x v="40"/>
    <x v="1"/>
    <x v="1"/>
    <s v="Printer"/>
    <x v="40"/>
    <n v="1212.1500000000001"/>
    <n v="5"/>
    <n v="0.1"/>
    <n v="43.72"/>
    <x v="2"/>
  </r>
  <r>
    <s v="ORD-1042"/>
    <x v="41"/>
    <x v="1"/>
    <x v="1"/>
    <s v="Laptop"/>
    <x v="41"/>
    <n v="1395.22"/>
    <n v="3"/>
    <n v="0.05"/>
    <n v="344.47"/>
    <x v="2"/>
  </r>
  <r>
    <s v="ORD-1043"/>
    <x v="42"/>
    <x v="2"/>
    <x v="2"/>
    <s v="Sofa"/>
    <x v="42"/>
    <n v="1012.86"/>
    <n v="2"/>
    <n v="0.1"/>
    <n v="138.37"/>
    <x v="1"/>
  </r>
  <r>
    <s v="ORD-1044"/>
    <x v="18"/>
    <x v="1"/>
    <x v="1"/>
    <s v="Printer"/>
    <x v="43"/>
    <n v="1861.21"/>
    <n v="3"/>
    <n v="0.2"/>
    <n v="132.72999999999999"/>
    <x v="2"/>
  </r>
  <r>
    <s v="ORD-1045"/>
    <x v="43"/>
    <x v="3"/>
    <x v="2"/>
    <s v="Chair"/>
    <x v="44"/>
    <n v="1221.42"/>
    <n v="8"/>
    <n v="0.15"/>
    <n v="-51.22"/>
    <x v="2"/>
  </r>
  <r>
    <s v="ORD-1046"/>
    <x v="44"/>
    <x v="2"/>
    <x v="0"/>
    <s v="Pen"/>
    <x v="45"/>
    <n v="774.07"/>
    <n v="3"/>
    <n v="0.15"/>
    <n v="2.19"/>
    <x v="1"/>
  </r>
  <r>
    <s v="ORD-1047"/>
    <x v="45"/>
    <x v="2"/>
    <x v="2"/>
    <s v="Chair"/>
    <x v="46"/>
    <n v="1490.62"/>
    <n v="9"/>
    <n v="0.2"/>
    <n v="-101.89"/>
    <x v="1"/>
  </r>
  <r>
    <s v="ORD-1048"/>
    <x v="46"/>
    <x v="3"/>
    <x v="0"/>
    <s v="Stapler"/>
    <x v="47"/>
    <n v="188.89"/>
    <n v="5"/>
    <n v="0.05"/>
    <n v="3.51"/>
    <x v="1"/>
  </r>
  <r>
    <s v="ORD-1049"/>
    <x v="47"/>
    <x v="0"/>
    <x v="2"/>
    <s v="Table"/>
    <x v="48"/>
    <n v="1577.39"/>
    <n v="8"/>
    <n v="0"/>
    <n v="330.46"/>
    <x v="1"/>
  </r>
  <r>
    <s v="ORD-1050"/>
    <x v="48"/>
    <x v="0"/>
    <x v="1"/>
    <s v="Monitor"/>
    <x v="49"/>
    <n v="1303.2"/>
    <n v="2"/>
    <n v="0"/>
    <n v="350.3"/>
    <x v="2"/>
  </r>
  <r>
    <s v="ORD-1051"/>
    <x v="49"/>
    <x v="2"/>
    <x v="0"/>
    <s v="Paper"/>
    <x v="50"/>
    <n v="1206.1600000000001"/>
    <n v="4"/>
    <n v="0.15"/>
    <n v="-3.77"/>
    <x v="2"/>
  </r>
  <r>
    <s v="ORD-1052"/>
    <x v="6"/>
    <x v="0"/>
    <x v="0"/>
    <s v="Pen"/>
    <x v="51"/>
    <n v="1204.53"/>
    <n v="3"/>
    <n v="0.1"/>
    <n v="-8.4700000000000006"/>
    <x v="1"/>
  </r>
  <r>
    <s v="ORD-1053"/>
    <x v="50"/>
    <x v="3"/>
    <x v="0"/>
    <s v="Binder"/>
    <x v="52"/>
    <n v="1995.65"/>
    <n v="3"/>
    <n v="0.2"/>
    <n v="82.63"/>
    <x v="0"/>
  </r>
  <r>
    <s v="ORD-1054"/>
    <x v="30"/>
    <x v="0"/>
    <x v="0"/>
    <s v="Pen"/>
    <x v="53"/>
    <n v="388.53"/>
    <n v="7"/>
    <n v="0"/>
    <n v="26.23"/>
    <x v="2"/>
  </r>
  <r>
    <s v="ORD-1055"/>
    <x v="51"/>
    <x v="3"/>
    <x v="1"/>
    <s v="Laptop"/>
    <x v="54"/>
    <n v="63"/>
    <n v="3"/>
    <n v="0.2"/>
    <n v="-7.05"/>
    <x v="0"/>
  </r>
  <r>
    <s v="ORD-1056"/>
    <x v="52"/>
    <x v="1"/>
    <x v="1"/>
    <s v="Monitor"/>
    <x v="55"/>
    <n v="962.45"/>
    <n v="8"/>
    <n v="0"/>
    <n v="279.27999999999997"/>
    <x v="2"/>
  </r>
  <r>
    <s v="ORD-1057"/>
    <x v="53"/>
    <x v="2"/>
    <x v="0"/>
    <s v="Paper"/>
    <x v="56"/>
    <n v="371.3"/>
    <n v="8"/>
    <n v="0"/>
    <n v="46.93"/>
    <x v="2"/>
  </r>
  <r>
    <s v="ORD-1058"/>
    <x v="54"/>
    <x v="2"/>
    <x v="0"/>
    <s v="Pen"/>
    <x v="57"/>
    <n v="1529.21"/>
    <n v="4"/>
    <n v="0.2"/>
    <n v="-201.17"/>
    <x v="1"/>
  </r>
  <r>
    <s v="ORD-1059"/>
    <x v="55"/>
    <x v="3"/>
    <x v="1"/>
    <s v="Laptop"/>
    <x v="58"/>
    <n v="723.81"/>
    <n v="4"/>
    <n v="0"/>
    <n v="140.35"/>
    <x v="2"/>
  </r>
  <r>
    <s v="ORD-1060"/>
    <x v="56"/>
    <x v="1"/>
    <x v="2"/>
    <s v="Sofa"/>
    <x v="59"/>
    <n v="1077.53"/>
    <n v="7"/>
    <n v="0.05"/>
    <n v="228.8"/>
    <x v="2"/>
  </r>
  <r>
    <s v="ORD-1061"/>
    <x v="57"/>
    <x v="1"/>
    <x v="0"/>
    <s v="Stapler"/>
    <x v="60"/>
    <n v="1810.9"/>
    <n v="9"/>
    <n v="0.1"/>
    <n v="90.22"/>
    <x v="1"/>
  </r>
  <r>
    <s v="ORD-1062"/>
    <x v="58"/>
    <x v="1"/>
    <x v="2"/>
    <s v="Sofa"/>
    <x v="61"/>
    <n v="1685.28"/>
    <n v="5"/>
    <n v="0.15"/>
    <n v="35.86"/>
    <x v="2"/>
  </r>
  <r>
    <s v="ORD-1063"/>
    <x v="59"/>
    <x v="0"/>
    <x v="2"/>
    <s v="Table"/>
    <x v="62"/>
    <n v="1816.17"/>
    <n v="2"/>
    <n v="0.1"/>
    <n v="339.21"/>
    <x v="0"/>
  </r>
  <r>
    <s v="ORD-1064"/>
    <x v="60"/>
    <x v="0"/>
    <x v="2"/>
    <s v="Table"/>
    <x v="63"/>
    <n v="1753.49"/>
    <n v="1"/>
    <n v="0.15"/>
    <n v="-9.1"/>
    <x v="1"/>
  </r>
  <r>
    <s v="ORD-1065"/>
    <x v="61"/>
    <x v="0"/>
    <x v="1"/>
    <s v="Laptop"/>
    <x v="64"/>
    <n v="727.24"/>
    <n v="9"/>
    <n v="0"/>
    <n v="123.08"/>
    <x v="1"/>
  </r>
  <r>
    <s v="ORD-1066"/>
    <x v="62"/>
    <x v="0"/>
    <x v="1"/>
    <s v="Laptop"/>
    <x v="65"/>
    <n v="1623.98"/>
    <n v="10"/>
    <n v="0.1"/>
    <n v="63.09"/>
    <x v="2"/>
  </r>
  <r>
    <s v="ORD-1067"/>
    <x v="63"/>
    <x v="3"/>
    <x v="0"/>
    <s v="Pen"/>
    <x v="66"/>
    <n v="1266.4000000000001"/>
    <n v="5"/>
    <n v="0.2"/>
    <n v="32.57"/>
    <x v="0"/>
  </r>
  <r>
    <s v="ORD-1068"/>
    <x v="64"/>
    <x v="3"/>
    <x v="2"/>
    <s v="Bookcase"/>
    <x v="67"/>
    <n v="71.569999999999993"/>
    <n v="5"/>
    <n v="0.05"/>
    <n v="12.65"/>
    <x v="0"/>
  </r>
  <r>
    <s v="ORD-1069"/>
    <x v="65"/>
    <x v="1"/>
    <x v="0"/>
    <s v="Stapler"/>
    <x v="68"/>
    <n v="1857.93"/>
    <n v="3"/>
    <n v="0.05"/>
    <n v="328.66"/>
    <x v="2"/>
  </r>
  <r>
    <s v="ORD-1070"/>
    <x v="66"/>
    <x v="1"/>
    <x v="2"/>
    <s v="Bookcase"/>
    <x v="69"/>
    <n v="162.04"/>
    <n v="10"/>
    <n v="0"/>
    <n v="31.64"/>
    <x v="0"/>
  </r>
  <r>
    <s v="ORD-1071"/>
    <x v="67"/>
    <x v="2"/>
    <x v="2"/>
    <s v="Chair"/>
    <x v="70"/>
    <n v="1685.85"/>
    <n v="5"/>
    <n v="0.1"/>
    <n v="220.66"/>
    <x v="0"/>
  </r>
  <r>
    <s v="ORD-1072"/>
    <x v="68"/>
    <x v="3"/>
    <x v="1"/>
    <s v="Laptop"/>
    <x v="71"/>
    <n v="333.13"/>
    <n v="2"/>
    <n v="0"/>
    <n v="37.75"/>
    <x v="2"/>
  </r>
  <r>
    <s v="ORD-1073"/>
    <x v="69"/>
    <x v="1"/>
    <x v="2"/>
    <s v="Bookcase"/>
    <x v="72"/>
    <n v="1585.03"/>
    <n v="2"/>
    <n v="0.05"/>
    <n v="358.16"/>
    <x v="2"/>
  </r>
  <r>
    <s v="ORD-1074"/>
    <x v="70"/>
    <x v="2"/>
    <x v="1"/>
    <s v="Printer"/>
    <x v="73"/>
    <n v="1491.57"/>
    <n v="3"/>
    <n v="0.1"/>
    <n v="174.89"/>
    <x v="1"/>
  </r>
  <r>
    <s v="ORD-1075"/>
    <x v="71"/>
    <x v="2"/>
    <x v="2"/>
    <s v="Table"/>
    <x v="74"/>
    <n v="830.3"/>
    <n v="5"/>
    <n v="0.1"/>
    <n v="-38.93"/>
    <x v="1"/>
  </r>
  <r>
    <s v="ORD-1076"/>
    <x v="72"/>
    <x v="0"/>
    <x v="2"/>
    <s v="Table"/>
    <x v="75"/>
    <n v="683.45"/>
    <n v="5"/>
    <n v="0"/>
    <n v="150.41999999999999"/>
    <x v="1"/>
  </r>
  <r>
    <s v="ORD-1077"/>
    <x v="73"/>
    <x v="0"/>
    <x v="0"/>
    <s v="Pen"/>
    <x v="76"/>
    <n v="1580.16"/>
    <n v="3"/>
    <n v="0.1"/>
    <n v="71.62"/>
    <x v="1"/>
  </r>
  <r>
    <s v="ORD-1078"/>
    <x v="37"/>
    <x v="1"/>
    <x v="2"/>
    <s v="Chair"/>
    <x v="77"/>
    <n v="437.48"/>
    <n v="8"/>
    <n v="0.15"/>
    <n v="-15.09"/>
    <x v="0"/>
  </r>
  <r>
    <s v="ORD-1079"/>
    <x v="36"/>
    <x v="1"/>
    <x v="1"/>
    <s v="Phone"/>
    <x v="78"/>
    <n v="542.17999999999995"/>
    <n v="1"/>
    <n v="0.15"/>
    <n v="78.489999999999995"/>
    <x v="1"/>
  </r>
  <r>
    <s v="ORD-1080"/>
    <x v="74"/>
    <x v="2"/>
    <x v="2"/>
    <s v="Chair"/>
    <x v="79"/>
    <n v="554.46"/>
    <n v="5"/>
    <n v="0.2"/>
    <n v="-81.36"/>
    <x v="1"/>
  </r>
  <r>
    <s v="ORD-1081"/>
    <x v="75"/>
    <x v="3"/>
    <x v="2"/>
    <s v="Bookcase"/>
    <x v="69"/>
    <n v="1766.84"/>
    <n v="9"/>
    <n v="0.05"/>
    <n v="419.7"/>
    <x v="1"/>
  </r>
  <r>
    <s v="ORD-1082"/>
    <x v="76"/>
    <x v="3"/>
    <x v="2"/>
    <s v="Table"/>
    <x v="80"/>
    <n v="914.25"/>
    <n v="10"/>
    <n v="0"/>
    <n v="114.08"/>
    <x v="1"/>
  </r>
  <r>
    <s v="ORD-1083"/>
    <x v="77"/>
    <x v="2"/>
    <x v="1"/>
    <s v="Phone"/>
    <x v="81"/>
    <n v="1683.62"/>
    <n v="4"/>
    <n v="0.2"/>
    <n v="62.1"/>
    <x v="0"/>
  </r>
  <r>
    <s v="ORD-1084"/>
    <x v="2"/>
    <x v="3"/>
    <x v="0"/>
    <s v="Paper"/>
    <x v="82"/>
    <n v="1763.79"/>
    <n v="1"/>
    <n v="0.1"/>
    <n v="-84.18"/>
    <x v="0"/>
  </r>
  <r>
    <s v="ORD-1085"/>
    <x v="78"/>
    <x v="1"/>
    <x v="0"/>
    <s v="Paper"/>
    <x v="83"/>
    <n v="64.81"/>
    <n v="10"/>
    <n v="0.15"/>
    <n v="3.08"/>
    <x v="2"/>
  </r>
  <r>
    <s v="ORD-1086"/>
    <x v="30"/>
    <x v="3"/>
    <x v="0"/>
    <s v="Pen"/>
    <x v="84"/>
    <n v="1991.69"/>
    <n v="3"/>
    <n v="0.15"/>
    <n v="197.67"/>
    <x v="2"/>
  </r>
  <r>
    <s v="ORD-1087"/>
    <x v="79"/>
    <x v="1"/>
    <x v="0"/>
    <s v="Stapler"/>
    <x v="85"/>
    <n v="1367.21"/>
    <n v="7"/>
    <n v="0"/>
    <n v="86.8"/>
    <x v="1"/>
  </r>
  <r>
    <s v="ORD-1088"/>
    <x v="80"/>
    <x v="1"/>
    <x v="1"/>
    <s v="Printer"/>
    <x v="86"/>
    <n v="1755.49"/>
    <n v="4"/>
    <n v="0.15"/>
    <n v="27.56"/>
    <x v="2"/>
  </r>
  <r>
    <s v="ORD-1089"/>
    <x v="81"/>
    <x v="0"/>
    <x v="2"/>
    <s v="Sofa"/>
    <x v="87"/>
    <n v="1442.35"/>
    <n v="9"/>
    <n v="0.15"/>
    <n v="-42.13"/>
    <x v="0"/>
  </r>
  <r>
    <s v="ORD-1090"/>
    <x v="82"/>
    <x v="1"/>
    <x v="0"/>
    <s v="Pen"/>
    <x v="88"/>
    <n v="1423.75"/>
    <n v="10"/>
    <n v="0.2"/>
    <n v="94.45"/>
    <x v="2"/>
  </r>
  <r>
    <s v="ORD-1091"/>
    <x v="51"/>
    <x v="2"/>
    <x v="1"/>
    <s v="Phone"/>
    <x v="89"/>
    <n v="1335.69"/>
    <n v="5"/>
    <n v="0.15"/>
    <n v="-69.63"/>
    <x v="2"/>
  </r>
  <r>
    <s v="ORD-1092"/>
    <x v="83"/>
    <x v="3"/>
    <x v="0"/>
    <s v="Pen"/>
    <x v="90"/>
    <n v="927.48"/>
    <n v="8"/>
    <n v="0"/>
    <n v="67.47"/>
    <x v="0"/>
  </r>
  <r>
    <s v="ORD-1093"/>
    <x v="74"/>
    <x v="3"/>
    <x v="0"/>
    <s v="Paper"/>
    <x v="91"/>
    <n v="1540.88"/>
    <n v="2"/>
    <n v="0.15"/>
    <n v="-102.16"/>
    <x v="1"/>
  </r>
  <r>
    <s v="ORD-1094"/>
    <x v="84"/>
    <x v="2"/>
    <x v="1"/>
    <s v="Laptop"/>
    <x v="92"/>
    <n v="146.85"/>
    <n v="8"/>
    <n v="0"/>
    <n v="42.22"/>
    <x v="0"/>
  </r>
  <r>
    <s v="ORD-1095"/>
    <x v="85"/>
    <x v="1"/>
    <x v="0"/>
    <s v="Stapler"/>
    <x v="93"/>
    <n v="1226.22"/>
    <n v="4"/>
    <n v="0"/>
    <n v="115.91"/>
    <x v="2"/>
  </r>
  <r>
    <s v="ORD-1096"/>
    <x v="15"/>
    <x v="1"/>
    <x v="2"/>
    <s v="Sofa"/>
    <x v="94"/>
    <n v="891.67"/>
    <n v="9"/>
    <n v="0.1"/>
    <n v="170.38"/>
    <x v="1"/>
  </r>
  <r>
    <s v="ORD-1097"/>
    <x v="86"/>
    <x v="1"/>
    <x v="0"/>
    <s v="Pen"/>
    <x v="95"/>
    <n v="578.1"/>
    <n v="10"/>
    <n v="0.1"/>
    <n v="68.09"/>
    <x v="0"/>
  </r>
  <r>
    <s v="ORD-1098"/>
    <x v="87"/>
    <x v="1"/>
    <x v="2"/>
    <s v="Table"/>
    <x v="96"/>
    <n v="402.82"/>
    <n v="4"/>
    <n v="0"/>
    <n v="25.92"/>
    <x v="1"/>
  </r>
  <r>
    <s v="ORD-1099"/>
    <x v="88"/>
    <x v="3"/>
    <x v="0"/>
    <s v="Stapler"/>
    <x v="97"/>
    <n v="648.70000000000005"/>
    <n v="5"/>
    <n v="0.05"/>
    <n v="52.74"/>
    <x v="1"/>
  </r>
  <r>
    <s v="ORD-1100"/>
    <x v="57"/>
    <x v="3"/>
    <x v="1"/>
    <s v="Printer"/>
    <x v="98"/>
    <n v="445.59"/>
    <n v="6"/>
    <n v="0.1"/>
    <n v="49.21"/>
    <x v="1"/>
  </r>
  <r>
    <s v="ORD-1101"/>
    <x v="84"/>
    <x v="3"/>
    <x v="1"/>
    <s v="Phone"/>
    <x v="99"/>
    <n v="1931.57"/>
    <n v="5"/>
    <n v="0"/>
    <n v="223.63"/>
    <x v="0"/>
  </r>
  <r>
    <s v="ORD-1102"/>
    <x v="89"/>
    <x v="0"/>
    <x v="0"/>
    <s v="Stapler"/>
    <x v="100"/>
    <n v="553.01"/>
    <n v="2"/>
    <n v="0"/>
    <n v="83.14"/>
    <x v="1"/>
  </r>
  <r>
    <s v="ORD-1103"/>
    <x v="90"/>
    <x v="1"/>
    <x v="2"/>
    <s v="Bookcase"/>
    <x v="101"/>
    <n v="1705.43"/>
    <n v="7"/>
    <n v="0.15"/>
    <n v="241"/>
    <x v="1"/>
  </r>
  <r>
    <s v="ORD-1104"/>
    <x v="91"/>
    <x v="0"/>
    <x v="0"/>
    <s v="Binder"/>
    <x v="102"/>
    <n v="1231.0999999999999"/>
    <n v="8"/>
    <n v="0.1"/>
    <n v="-4.68"/>
    <x v="2"/>
  </r>
  <r>
    <s v="ORD-1105"/>
    <x v="88"/>
    <x v="1"/>
    <x v="1"/>
    <s v="Monitor"/>
    <x v="103"/>
    <n v="1426.42"/>
    <n v="6"/>
    <n v="0.05"/>
    <n v="183.86"/>
    <x v="2"/>
  </r>
  <r>
    <s v="ORD-1106"/>
    <x v="92"/>
    <x v="3"/>
    <x v="1"/>
    <s v="Phone"/>
    <x v="104"/>
    <n v="1841.55"/>
    <n v="9"/>
    <n v="0"/>
    <n v="519.94000000000005"/>
    <x v="1"/>
  </r>
  <r>
    <s v="ORD-1107"/>
    <x v="93"/>
    <x v="1"/>
    <x v="1"/>
    <s v="Printer"/>
    <x v="105"/>
    <n v="1168.52"/>
    <n v="10"/>
    <n v="0"/>
    <n v="278.20999999999998"/>
    <x v="0"/>
  </r>
  <r>
    <s v="ORD-1108"/>
    <x v="94"/>
    <x v="0"/>
    <x v="0"/>
    <s v="Binder"/>
    <x v="106"/>
    <n v="585.32000000000005"/>
    <n v="1"/>
    <n v="0"/>
    <n v="34.53"/>
    <x v="1"/>
  </r>
  <r>
    <s v="ORD-1109"/>
    <x v="95"/>
    <x v="0"/>
    <x v="0"/>
    <s v="Stapler"/>
    <x v="107"/>
    <n v="1942.59"/>
    <n v="5"/>
    <n v="0.2"/>
    <n v="-43.89"/>
    <x v="0"/>
  </r>
  <r>
    <s v="ORD-1110"/>
    <x v="57"/>
    <x v="1"/>
    <x v="1"/>
    <s v="Phone"/>
    <x v="108"/>
    <n v="489.5"/>
    <n v="8"/>
    <n v="0.05"/>
    <n v="65.459999999999994"/>
    <x v="1"/>
  </r>
  <r>
    <s v="ORD-1111"/>
    <x v="96"/>
    <x v="0"/>
    <x v="0"/>
    <s v="Binder"/>
    <x v="109"/>
    <n v="1096.25"/>
    <n v="4"/>
    <n v="0.15"/>
    <n v="-47.16"/>
    <x v="2"/>
  </r>
  <r>
    <s v="ORD-1112"/>
    <x v="97"/>
    <x v="3"/>
    <x v="2"/>
    <s v="Bookcase"/>
    <x v="110"/>
    <n v="789.85"/>
    <n v="8"/>
    <n v="0.1"/>
    <n v="138.87"/>
    <x v="1"/>
  </r>
  <r>
    <s v="ORD-1113"/>
    <x v="98"/>
    <x v="1"/>
    <x v="2"/>
    <s v="Chair"/>
    <x v="111"/>
    <n v="1647.24"/>
    <n v="9"/>
    <n v="0.05"/>
    <n v="393.14"/>
    <x v="0"/>
  </r>
  <r>
    <s v="ORD-1114"/>
    <x v="24"/>
    <x v="0"/>
    <x v="2"/>
    <s v="Bookcase"/>
    <x v="112"/>
    <n v="660.73"/>
    <n v="2"/>
    <n v="0.1"/>
    <n v="15.36"/>
    <x v="1"/>
  </r>
  <r>
    <s v="ORD-1115"/>
    <x v="99"/>
    <x v="1"/>
    <x v="0"/>
    <s v="Paper"/>
    <x v="113"/>
    <n v="746.29"/>
    <n v="2"/>
    <n v="0.2"/>
    <n v="1.91"/>
    <x v="0"/>
  </r>
  <r>
    <s v="ORD-1116"/>
    <x v="100"/>
    <x v="3"/>
    <x v="1"/>
    <s v="Monitor"/>
    <x v="114"/>
    <n v="744.74"/>
    <n v="3"/>
    <n v="0.2"/>
    <n v="33.159999999999997"/>
    <x v="1"/>
  </r>
  <r>
    <s v="ORD-1117"/>
    <x v="101"/>
    <x v="0"/>
    <x v="0"/>
    <s v="Stapler"/>
    <x v="115"/>
    <n v="698.66"/>
    <n v="4"/>
    <n v="0"/>
    <n v="184.2"/>
    <x v="0"/>
  </r>
  <r>
    <s v="ORD-1118"/>
    <x v="102"/>
    <x v="0"/>
    <x v="0"/>
    <s v="Paper"/>
    <x v="116"/>
    <n v="660.28"/>
    <n v="1"/>
    <n v="0.15"/>
    <n v="-30.34"/>
    <x v="1"/>
  </r>
  <r>
    <s v="ORD-1119"/>
    <x v="49"/>
    <x v="1"/>
    <x v="0"/>
    <s v="Binder"/>
    <x v="117"/>
    <n v="90.76"/>
    <n v="5"/>
    <n v="0.05"/>
    <n v="12.87"/>
    <x v="2"/>
  </r>
  <r>
    <s v="ORD-1120"/>
    <x v="103"/>
    <x v="0"/>
    <x v="2"/>
    <s v="Chair"/>
    <x v="118"/>
    <n v="124.45"/>
    <n v="6"/>
    <n v="0"/>
    <n v="21.07"/>
    <x v="2"/>
  </r>
  <r>
    <s v="ORD-1121"/>
    <x v="104"/>
    <x v="1"/>
    <x v="1"/>
    <s v="Phone"/>
    <x v="119"/>
    <n v="1141.68"/>
    <n v="8"/>
    <n v="0"/>
    <n v="79.59"/>
    <x v="1"/>
  </r>
  <r>
    <s v="ORD-1122"/>
    <x v="102"/>
    <x v="2"/>
    <x v="2"/>
    <s v="Sofa"/>
    <x v="120"/>
    <n v="1598.76"/>
    <n v="10"/>
    <n v="0.05"/>
    <n v="200.69"/>
    <x v="1"/>
  </r>
  <r>
    <s v="ORD-1123"/>
    <x v="105"/>
    <x v="1"/>
    <x v="2"/>
    <s v="Sofa"/>
    <x v="121"/>
    <n v="80.27"/>
    <n v="7"/>
    <n v="0.05"/>
    <n v="14.72"/>
    <x v="1"/>
  </r>
  <r>
    <s v="ORD-1124"/>
    <x v="106"/>
    <x v="3"/>
    <x v="1"/>
    <s v="Phone"/>
    <x v="122"/>
    <n v="264.51"/>
    <n v="5"/>
    <n v="0.15"/>
    <n v="13.05"/>
    <x v="0"/>
  </r>
  <r>
    <s v="ORD-1125"/>
    <x v="80"/>
    <x v="2"/>
    <x v="2"/>
    <s v="Sofa"/>
    <x v="123"/>
    <n v="282.92"/>
    <n v="9"/>
    <n v="0.15"/>
    <n v="29.84"/>
    <x v="1"/>
  </r>
  <r>
    <s v="ORD-1126"/>
    <x v="107"/>
    <x v="2"/>
    <x v="2"/>
    <s v="Sofa"/>
    <x v="124"/>
    <n v="1543.21"/>
    <n v="1"/>
    <n v="0.2"/>
    <n v="-11.79"/>
    <x v="1"/>
  </r>
  <r>
    <s v="ORD-1127"/>
    <x v="59"/>
    <x v="0"/>
    <x v="1"/>
    <s v="Printer"/>
    <x v="125"/>
    <n v="1117.78"/>
    <n v="3"/>
    <n v="0.05"/>
    <n v="227.28"/>
    <x v="2"/>
  </r>
  <r>
    <s v="ORD-1128"/>
    <x v="108"/>
    <x v="2"/>
    <x v="2"/>
    <s v="Bookcase"/>
    <x v="126"/>
    <n v="1704.61"/>
    <n v="2"/>
    <n v="0.15"/>
    <n v="1.19"/>
    <x v="0"/>
  </r>
  <r>
    <s v="ORD-1129"/>
    <x v="42"/>
    <x v="3"/>
    <x v="0"/>
    <s v="Stapler"/>
    <x v="127"/>
    <n v="63.92"/>
    <n v="6"/>
    <n v="0.1"/>
    <n v="0.73"/>
    <x v="0"/>
  </r>
  <r>
    <s v="ORD-1130"/>
    <x v="105"/>
    <x v="3"/>
    <x v="0"/>
    <s v="Paper"/>
    <x v="128"/>
    <n v="1592.66"/>
    <n v="7"/>
    <n v="0.05"/>
    <n v="302.2"/>
    <x v="2"/>
  </r>
  <r>
    <s v="ORD-1131"/>
    <x v="109"/>
    <x v="3"/>
    <x v="2"/>
    <s v="Table"/>
    <x v="129"/>
    <n v="1946.61"/>
    <n v="10"/>
    <n v="0.15"/>
    <n v="65.09"/>
    <x v="2"/>
  </r>
  <r>
    <s v="ORD-1132"/>
    <x v="17"/>
    <x v="1"/>
    <x v="1"/>
    <s v="Laptop"/>
    <x v="130"/>
    <n v="1626.31"/>
    <n v="2"/>
    <n v="0"/>
    <n v="163.02000000000001"/>
    <x v="2"/>
  </r>
  <r>
    <s v="ORD-1133"/>
    <x v="110"/>
    <x v="0"/>
    <x v="0"/>
    <s v="Binder"/>
    <x v="131"/>
    <n v="134.72999999999999"/>
    <n v="2"/>
    <n v="0.2"/>
    <n v="-7.38"/>
    <x v="1"/>
  </r>
  <r>
    <s v="ORD-1134"/>
    <x v="111"/>
    <x v="3"/>
    <x v="2"/>
    <s v="Bookcase"/>
    <x v="132"/>
    <n v="624.4"/>
    <n v="5"/>
    <n v="0"/>
    <n v="180"/>
    <x v="1"/>
  </r>
  <r>
    <s v="ORD-1135"/>
    <x v="112"/>
    <x v="3"/>
    <x v="2"/>
    <s v="Bookcase"/>
    <x v="133"/>
    <n v="1413.84"/>
    <n v="6"/>
    <n v="0.15"/>
    <n v="-12.02"/>
    <x v="2"/>
  </r>
  <r>
    <s v="ORD-1136"/>
    <x v="65"/>
    <x v="1"/>
    <x v="0"/>
    <s v="Pen"/>
    <x v="134"/>
    <n v="207.11"/>
    <n v="2"/>
    <n v="0.05"/>
    <n v="24.23"/>
    <x v="1"/>
  </r>
  <r>
    <s v="ORD-1137"/>
    <x v="113"/>
    <x v="0"/>
    <x v="1"/>
    <s v="Printer"/>
    <x v="135"/>
    <n v="1446.14"/>
    <n v="4"/>
    <n v="0.15"/>
    <n v="185.1"/>
    <x v="0"/>
  </r>
  <r>
    <s v="ORD-1138"/>
    <x v="114"/>
    <x v="3"/>
    <x v="0"/>
    <s v="Paper"/>
    <x v="136"/>
    <n v="358.86"/>
    <n v="10"/>
    <n v="0.2"/>
    <n v="-30.98"/>
    <x v="0"/>
  </r>
  <r>
    <s v="ORD-1139"/>
    <x v="26"/>
    <x v="0"/>
    <x v="2"/>
    <s v="Sofa"/>
    <x v="137"/>
    <n v="106.16"/>
    <n v="7"/>
    <n v="0.15"/>
    <n v="-1.06"/>
    <x v="0"/>
  </r>
  <r>
    <s v="ORD-1140"/>
    <x v="63"/>
    <x v="3"/>
    <x v="0"/>
    <s v="Stapler"/>
    <x v="138"/>
    <n v="1603.55"/>
    <n v="6"/>
    <n v="0.2"/>
    <n v="-62.86"/>
    <x v="1"/>
  </r>
  <r>
    <s v="ORD-1141"/>
    <x v="115"/>
    <x v="2"/>
    <x v="0"/>
    <s v="Binder"/>
    <x v="139"/>
    <n v="1056.67"/>
    <n v="1"/>
    <n v="0.1"/>
    <n v="171.48"/>
    <x v="0"/>
  </r>
  <r>
    <s v="ORD-1142"/>
    <x v="116"/>
    <x v="3"/>
    <x v="2"/>
    <s v="Chair"/>
    <x v="140"/>
    <n v="1995.19"/>
    <n v="7"/>
    <n v="0.15"/>
    <n v="43.38"/>
    <x v="1"/>
  </r>
  <r>
    <s v="ORD-1143"/>
    <x v="117"/>
    <x v="2"/>
    <x v="0"/>
    <s v="Pen"/>
    <x v="141"/>
    <n v="562.48"/>
    <n v="1"/>
    <n v="0.2"/>
    <n v="38.69"/>
    <x v="0"/>
  </r>
  <r>
    <s v="ORD-1144"/>
    <x v="105"/>
    <x v="3"/>
    <x v="2"/>
    <s v="Table"/>
    <x v="142"/>
    <n v="1588.83"/>
    <n v="3"/>
    <n v="0.1"/>
    <n v="27.12"/>
    <x v="0"/>
  </r>
  <r>
    <s v="ORD-1145"/>
    <x v="118"/>
    <x v="3"/>
    <x v="2"/>
    <s v="Table"/>
    <x v="143"/>
    <n v="500.01"/>
    <n v="1"/>
    <n v="0.1"/>
    <n v="99.23"/>
    <x v="0"/>
  </r>
  <r>
    <s v="ORD-1146"/>
    <x v="119"/>
    <x v="0"/>
    <x v="1"/>
    <s v="Laptop"/>
    <x v="144"/>
    <n v="1537.47"/>
    <n v="4"/>
    <n v="0"/>
    <n v="169.63"/>
    <x v="1"/>
  </r>
  <r>
    <s v="ORD-1147"/>
    <x v="120"/>
    <x v="3"/>
    <x v="1"/>
    <s v="Laptop"/>
    <x v="145"/>
    <n v="1413.65"/>
    <n v="3"/>
    <n v="0.2"/>
    <n v="87.34"/>
    <x v="2"/>
  </r>
  <r>
    <s v="ORD-1148"/>
    <x v="121"/>
    <x v="2"/>
    <x v="2"/>
    <s v="Bookcase"/>
    <x v="146"/>
    <n v="86.34"/>
    <n v="8"/>
    <n v="0.2"/>
    <n v="1.86"/>
    <x v="0"/>
  </r>
  <r>
    <s v="ORD-1149"/>
    <x v="8"/>
    <x v="3"/>
    <x v="2"/>
    <s v="Chair"/>
    <x v="147"/>
    <n v="1359.7"/>
    <n v="7"/>
    <n v="0.2"/>
    <n v="-36.76"/>
    <x v="0"/>
  </r>
  <r>
    <s v="ORD-1150"/>
    <x v="122"/>
    <x v="3"/>
    <x v="0"/>
    <s v="Binder"/>
    <x v="148"/>
    <n v="1245.1600000000001"/>
    <n v="3"/>
    <n v="0.15"/>
    <n v="-9.07"/>
    <x v="2"/>
  </r>
  <r>
    <s v="ORD-1151"/>
    <x v="27"/>
    <x v="0"/>
    <x v="2"/>
    <s v="Chair"/>
    <x v="149"/>
    <n v="559.08000000000004"/>
    <n v="5"/>
    <n v="0.1"/>
    <n v="10.09"/>
    <x v="0"/>
  </r>
  <r>
    <s v="ORD-1152"/>
    <x v="123"/>
    <x v="3"/>
    <x v="2"/>
    <s v="Table"/>
    <x v="150"/>
    <n v="669.94"/>
    <n v="2"/>
    <n v="0.1"/>
    <n v="-11.35"/>
    <x v="1"/>
  </r>
  <r>
    <s v="ORD-1153"/>
    <x v="124"/>
    <x v="3"/>
    <x v="0"/>
    <s v="Pen"/>
    <x v="151"/>
    <n v="837.33"/>
    <n v="5"/>
    <n v="0"/>
    <n v="246.42"/>
    <x v="2"/>
  </r>
  <r>
    <s v="ORD-1154"/>
    <x v="125"/>
    <x v="2"/>
    <x v="0"/>
    <s v="Pen"/>
    <x v="152"/>
    <n v="1223.92"/>
    <n v="2"/>
    <n v="0.05"/>
    <n v="258.14999999999998"/>
    <x v="1"/>
  </r>
  <r>
    <s v="ORD-1155"/>
    <x v="126"/>
    <x v="0"/>
    <x v="2"/>
    <s v="Sofa"/>
    <x v="153"/>
    <n v="1398.31"/>
    <n v="1"/>
    <n v="0.2"/>
    <n v="-157.83000000000001"/>
    <x v="1"/>
  </r>
  <r>
    <s v="ORD-1156"/>
    <x v="127"/>
    <x v="2"/>
    <x v="2"/>
    <s v="Sofa"/>
    <x v="154"/>
    <n v="1095.8"/>
    <n v="7"/>
    <n v="0.2"/>
    <n v="87.51"/>
    <x v="0"/>
  </r>
  <r>
    <s v="ORD-1157"/>
    <x v="63"/>
    <x v="0"/>
    <x v="1"/>
    <s v="Laptop"/>
    <x v="155"/>
    <n v="1841.18"/>
    <n v="10"/>
    <n v="0.2"/>
    <n v="-39.03"/>
    <x v="1"/>
  </r>
  <r>
    <s v="ORD-1158"/>
    <x v="128"/>
    <x v="2"/>
    <x v="1"/>
    <s v="Phone"/>
    <x v="156"/>
    <n v="576.97"/>
    <n v="10"/>
    <n v="0.1"/>
    <n v="11.89"/>
    <x v="1"/>
  </r>
  <r>
    <s v="ORD-1159"/>
    <x v="36"/>
    <x v="0"/>
    <x v="1"/>
    <s v="Printer"/>
    <x v="157"/>
    <n v="602.12"/>
    <n v="5"/>
    <n v="0.15"/>
    <n v="86.96"/>
    <x v="2"/>
  </r>
  <r>
    <s v="ORD-1160"/>
    <x v="129"/>
    <x v="2"/>
    <x v="0"/>
    <s v="Binder"/>
    <x v="158"/>
    <n v="925.2"/>
    <n v="1"/>
    <n v="0"/>
    <n v="159.84"/>
    <x v="2"/>
  </r>
  <r>
    <s v="ORD-1161"/>
    <x v="53"/>
    <x v="3"/>
    <x v="2"/>
    <s v="Sofa"/>
    <x v="159"/>
    <n v="1310.7"/>
    <n v="8"/>
    <n v="0.2"/>
    <n v="-50.89"/>
    <x v="2"/>
  </r>
  <r>
    <s v="ORD-1162"/>
    <x v="121"/>
    <x v="3"/>
    <x v="2"/>
    <s v="Sofa"/>
    <x v="160"/>
    <n v="93.74"/>
    <n v="5"/>
    <n v="0.1"/>
    <n v="-3.61"/>
    <x v="1"/>
  </r>
  <r>
    <s v="ORD-1163"/>
    <x v="130"/>
    <x v="1"/>
    <x v="2"/>
    <s v="Bookcase"/>
    <x v="161"/>
    <n v="587.46"/>
    <n v="5"/>
    <n v="0.1"/>
    <n v="66.47"/>
    <x v="2"/>
  </r>
  <r>
    <s v="ORD-1164"/>
    <x v="131"/>
    <x v="2"/>
    <x v="0"/>
    <s v="Pen"/>
    <x v="162"/>
    <n v="733.44"/>
    <n v="6"/>
    <n v="0.1"/>
    <n v="7.7"/>
    <x v="0"/>
  </r>
  <r>
    <s v="ORD-1165"/>
    <x v="127"/>
    <x v="2"/>
    <x v="1"/>
    <s v="Laptop"/>
    <x v="163"/>
    <n v="689.41"/>
    <n v="3"/>
    <n v="0.1"/>
    <n v="35.81"/>
    <x v="0"/>
  </r>
  <r>
    <s v="ORD-1166"/>
    <x v="132"/>
    <x v="1"/>
    <x v="2"/>
    <s v="Table"/>
    <x v="164"/>
    <n v="356.11"/>
    <n v="8"/>
    <n v="0.2"/>
    <n v="-28.33"/>
    <x v="2"/>
  </r>
  <r>
    <s v="ORD-1167"/>
    <x v="133"/>
    <x v="0"/>
    <x v="1"/>
    <s v="Printer"/>
    <x v="165"/>
    <n v="1017.65"/>
    <n v="3"/>
    <n v="0.15"/>
    <n v="-25.78"/>
    <x v="1"/>
  </r>
  <r>
    <s v="ORD-1168"/>
    <x v="134"/>
    <x v="3"/>
    <x v="0"/>
    <s v="Binder"/>
    <x v="166"/>
    <n v="407.87"/>
    <n v="5"/>
    <n v="0.2"/>
    <n v="12.9"/>
    <x v="2"/>
  </r>
  <r>
    <s v="ORD-1169"/>
    <x v="135"/>
    <x v="3"/>
    <x v="1"/>
    <s v="Phone"/>
    <x v="167"/>
    <n v="156.5"/>
    <n v="10"/>
    <n v="0.05"/>
    <n v="8.11"/>
    <x v="1"/>
  </r>
  <r>
    <s v="ORD-1170"/>
    <x v="98"/>
    <x v="0"/>
    <x v="1"/>
    <s v="Phone"/>
    <x v="168"/>
    <n v="800.7"/>
    <n v="3"/>
    <n v="0.05"/>
    <n v="23.74"/>
    <x v="0"/>
  </r>
  <r>
    <s v="ORD-1171"/>
    <x v="136"/>
    <x v="2"/>
    <x v="2"/>
    <s v="Chair"/>
    <x v="169"/>
    <n v="778.01"/>
    <n v="3"/>
    <n v="0.2"/>
    <n v="-55.28"/>
    <x v="1"/>
  </r>
  <r>
    <s v="ORD-1172"/>
    <x v="137"/>
    <x v="2"/>
    <x v="1"/>
    <s v="Laptop"/>
    <x v="170"/>
    <n v="476.17"/>
    <n v="5"/>
    <n v="0.15"/>
    <n v="61.58"/>
    <x v="2"/>
  </r>
  <r>
    <s v="ORD-1173"/>
    <x v="138"/>
    <x v="2"/>
    <x v="2"/>
    <s v="Bookcase"/>
    <x v="171"/>
    <n v="215.93"/>
    <n v="6"/>
    <n v="0.05"/>
    <n v="40.29"/>
    <x v="2"/>
  </r>
  <r>
    <s v="ORD-1174"/>
    <x v="139"/>
    <x v="0"/>
    <x v="0"/>
    <s v="Paper"/>
    <x v="172"/>
    <n v="1046.21"/>
    <n v="4"/>
    <n v="0.1"/>
    <n v="116.04"/>
    <x v="1"/>
  </r>
  <r>
    <s v="ORD-1175"/>
    <x v="140"/>
    <x v="1"/>
    <x v="0"/>
    <s v="Pen"/>
    <x v="173"/>
    <n v="1969.98"/>
    <n v="8"/>
    <n v="0.1"/>
    <n v="-11.37"/>
    <x v="0"/>
  </r>
  <r>
    <s v="ORD-1176"/>
    <x v="141"/>
    <x v="1"/>
    <x v="2"/>
    <s v="Bookcase"/>
    <x v="174"/>
    <n v="294.11"/>
    <n v="6"/>
    <n v="0.2"/>
    <n v="-30.58"/>
    <x v="0"/>
  </r>
  <r>
    <s v="ORD-1177"/>
    <x v="81"/>
    <x v="2"/>
    <x v="0"/>
    <s v="Pen"/>
    <x v="175"/>
    <n v="1377.61"/>
    <n v="7"/>
    <n v="0"/>
    <n v="253.25"/>
    <x v="0"/>
  </r>
  <r>
    <s v="ORD-1178"/>
    <x v="142"/>
    <x v="2"/>
    <x v="2"/>
    <s v="Table"/>
    <x v="176"/>
    <n v="790.02"/>
    <n v="6"/>
    <n v="0.05"/>
    <n v="68.98"/>
    <x v="0"/>
  </r>
  <r>
    <s v="ORD-1179"/>
    <x v="32"/>
    <x v="3"/>
    <x v="0"/>
    <s v="Stapler"/>
    <x v="177"/>
    <n v="984.04"/>
    <n v="3"/>
    <n v="0.15"/>
    <n v="144.03"/>
    <x v="1"/>
  </r>
  <r>
    <s v="ORD-1180"/>
    <x v="143"/>
    <x v="1"/>
    <x v="2"/>
    <s v="Chair"/>
    <x v="178"/>
    <n v="1548.45"/>
    <n v="10"/>
    <n v="0"/>
    <n v="212.95"/>
    <x v="1"/>
  </r>
  <r>
    <s v="ORD-1181"/>
    <x v="144"/>
    <x v="2"/>
    <x v="1"/>
    <s v="Printer"/>
    <x v="179"/>
    <n v="1538.77"/>
    <n v="3"/>
    <n v="0"/>
    <n v="161.37"/>
    <x v="2"/>
  </r>
  <r>
    <s v="ORD-1182"/>
    <x v="145"/>
    <x v="3"/>
    <x v="2"/>
    <s v="Sofa"/>
    <x v="180"/>
    <n v="1173.51"/>
    <n v="4"/>
    <n v="0.15"/>
    <n v="13.14"/>
    <x v="0"/>
  </r>
  <r>
    <s v="ORD-1183"/>
    <x v="146"/>
    <x v="1"/>
    <x v="0"/>
    <s v="Stapler"/>
    <x v="181"/>
    <n v="407.98"/>
    <n v="8"/>
    <n v="0"/>
    <n v="92.46"/>
    <x v="0"/>
  </r>
  <r>
    <s v="ORD-1184"/>
    <x v="60"/>
    <x v="1"/>
    <x v="1"/>
    <s v="Monitor"/>
    <x v="182"/>
    <n v="853.64"/>
    <n v="8"/>
    <n v="0.15"/>
    <n v="-52.86"/>
    <x v="2"/>
  </r>
  <r>
    <s v="ORD-1185"/>
    <x v="147"/>
    <x v="1"/>
    <x v="2"/>
    <s v="Bookcase"/>
    <x v="183"/>
    <n v="596.01"/>
    <n v="6"/>
    <n v="0"/>
    <n v="51.57"/>
    <x v="2"/>
  </r>
  <r>
    <s v="ORD-1186"/>
    <x v="148"/>
    <x v="0"/>
    <x v="2"/>
    <s v="Bookcase"/>
    <x v="184"/>
    <n v="1776.37"/>
    <n v="8"/>
    <n v="0.15"/>
    <n v="-28.09"/>
    <x v="2"/>
  </r>
  <r>
    <s v="ORD-1187"/>
    <x v="149"/>
    <x v="2"/>
    <x v="0"/>
    <s v="Binder"/>
    <x v="185"/>
    <n v="428.92"/>
    <n v="4"/>
    <n v="0.05"/>
    <n v="39.130000000000003"/>
    <x v="0"/>
  </r>
  <r>
    <s v="ORD-1188"/>
    <x v="60"/>
    <x v="3"/>
    <x v="1"/>
    <s v="Printer"/>
    <x v="186"/>
    <n v="1037.83"/>
    <n v="4"/>
    <n v="0.1"/>
    <n v="148.38999999999999"/>
    <x v="0"/>
  </r>
  <r>
    <s v="ORD-1189"/>
    <x v="150"/>
    <x v="2"/>
    <x v="1"/>
    <s v="Laptop"/>
    <x v="187"/>
    <n v="1841.02"/>
    <n v="10"/>
    <n v="0"/>
    <n v="425.35"/>
    <x v="2"/>
  </r>
  <r>
    <s v="ORD-1190"/>
    <x v="151"/>
    <x v="0"/>
    <x v="0"/>
    <s v="Binder"/>
    <x v="188"/>
    <n v="375.46"/>
    <n v="6"/>
    <n v="0"/>
    <n v="30.42"/>
    <x v="2"/>
  </r>
  <r>
    <s v="ORD-1191"/>
    <x v="61"/>
    <x v="1"/>
    <x v="0"/>
    <s v="Binder"/>
    <x v="189"/>
    <n v="201.04"/>
    <n v="4"/>
    <n v="0.2"/>
    <n v="-20.99"/>
    <x v="1"/>
  </r>
  <r>
    <s v="ORD-1192"/>
    <x v="16"/>
    <x v="0"/>
    <x v="2"/>
    <s v="Sofa"/>
    <x v="190"/>
    <n v="1157.77"/>
    <n v="5"/>
    <n v="0.15"/>
    <n v="-93.03"/>
    <x v="2"/>
  </r>
  <r>
    <s v="ORD-1193"/>
    <x v="152"/>
    <x v="1"/>
    <x v="0"/>
    <s v="Pen"/>
    <x v="191"/>
    <n v="646.19000000000005"/>
    <n v="1"/>
    <n v="0.15"/>
    <n v="-11.9"/>
    <x v="2"/>
  </r>
  <r>
    <s v="ORD-1194"/>
    <x v="153"/>
    <x v="0"/>
    <x v="1"/>
    <s v="Laptop"/>
    <x v="192"/>
    <n v="1370.37"/>
    <n v="1"/>
    <n v="0"/>
    <n v="166.21"/>
    <x v="2"/>
  </r>
  <r>
    <s v="ORD-1195"/>
    <x v="154"/>
    <x v="2"/>
    <x v="1"/>
    <s v="Monitor"/>
    <x v="193"/>
    <n v="920.7"/>
    <n v="8"/>
    <n v="0.15"/>
    <n v="87.5"/>
    <x v="2"/>
  </r>
  <r>
    <s v="ORD-1196"/>
    <x v="155"/>
    <x v="2"/>
    <x v="1"/>
    <s v="Phone"/>
    <x v="194"/>
    <n v="1733.25"/>
    <n v="5"/>
    <n v="0.15"/>
    <n v="-9.5299999999999994"/>
    <x v="1"/>
  </r>
  <r>
    <s v="ORD-1197"/>
    <x v="16"/>
    <x v="3"/>
    <x v="1"/>
    <s v="Phone"/>
    <x v="195"/>
    <n v="1460.76"/>
    <n v="1"/>
    <n v="0.1"/>
    <n v="49.47"/>
    <x v="1"/>
  </r>
  <r>
    <s v="ORD-1198"/>
    <x v="2"/>
    <x v="3"/>
    <x v="1"/>
    <s v="Laptop"/>
    <x v="196"/>
    <n v="228.95"/>
    <n v="7"/>
    <n v="0.15"/>
    <n v="-19.43"/>
    <x v="2"/>
  </r>
  <r>
    <s v="ORD-1199"/>
    <x v="7"/>
    <x v="1"/>
    <x v="0"/>
    <s v="Pen"/>
    <x v="197"/>
    <n v="1567.59"/>
    <n v="7"/>
    <n v="0.1"/>
    <n v="97.46"/>
    <x v="0"/>
  </r>
  <r>
    <s v="ORD-1200"/>
    <x v="156"/>
    <x v="3"/>
    <x v="2"/>
    <s v="Table"/>
    <x v="198"/>
    <n v="667.77"/>
    <n v="8"/>
    <n v="0.2"/>
    <n v="41.05"/>
    <x v="1"/>
  </r>
  <r>
    <s v="ORD-1201"/>
    <x v="9"/>
    <x v="2"/>
    <x v="2"/>
    <s v="Chair"/>
    <x v="199"/>
    <n v="186.45"/>
    <n v="9"/>
    <n v="0.15"/>
    <n v="6.48"/>
    <x v="2"/>
  </r>
  <r>
    <s v="ORD-1202"/>
    <x v="157"/>
    <x v="0"/>
    <x v="0"/>
    <s v="Paper"/>
    <x v="200"/>
    <n v="817.28"/>
    <n v="7"/>
    <n v="0.05"/>
    <n v="93.67"/>
    <x v="2"/>
  </r>
  <r>
    <s v="ORD-1203"/>
    <x v="158"/>
    <x v="2"/>
    <x v="0"/>
    <s v="Pen"/>
    <x v="201"/>
    <n v="1911.02"/>
    <n v="10"/>
    <n v="0.1"/>
    <n v="7.77"/>
    <x v="1"/>
  </r>
  <r>
    <s v="ORD-1204"/>
    <x v="135"/>
    <x v="3"/>
    <x v="2"/>
    <s v="Chair"/>
    <x v="202"/>
    <n v="642.91999999999996"/>
    <n v="6"/>
    <n v="0.2"/>
    <n v="14.4"/>
    <x v="1"/>
  </r>
  <r>
    <s v="ORD-1205"/>
    <x v="159"/>
    <x v="1"/>
    <x v="2"/>
    <s v="Bookcase"/>
    <x v="203"/>
    <n v="1280.1300000000001"/>
    <n v="3"/>
    <n v="0.15"/>
    <n v="34.14"/>
    <x v="2"/>
  </r>
  <r>
    <s v="ORD-1206"/>
    <x v="160"/>
    <x v="2"/>
    <x v="1"/>
    <s v="Laptop"/>
    <x v="204"/>
    <n v="495.66"/>
    <n v="4"/>
    <n v="0.1"/>
    <n v="50.79"/>
    <x v="1"/>
  </r>
  <r>
    <s v="ORD-1207"/>
    <x v="56"/>
    <x v="3"/>
    <x v="1"/>
    <s v="Phone"/>
    <x v="205"/>
    <n v="231.45"/>
    <n v="8"/>
    <n v="0.1"/>
    <n v="-8.41"/>
    <x v="2"/>
  </r>
  <r>
    <s v="ORD-1208"/>
    <x v="161"/>
    <x v="3"/>
    <x v="0"/>
    <s v="Pen"/>
    <x v="206"/>
    <n v="191.3"/>
    <n v="3"/>
    <n v="0.15"/>
    <n v="23.35"/>
    <x v="1"/>
  </r>
  <r>
    <s v="ORD-1209"/>
    <x v="64"/>
    <x v="0"/>
    <x v="2"/>
    <s v="Bookcase"/>
    <x v="207"/>
    <n v="894.73"/>
    <n v="9"/>
    <n v="0"/>
    <n v="155.83000000000001"/>
    <x v="0"/>
  </r>
  <r>
    <s v="ORD-1210"/>
    <x v="67"/>
    <x v="0"/>
    <x v="0"/>
    <s v="Pen"/>
    <x v="208"/>
    <n v="992.71"/>
    <n v="1"/>
    <n v="0.1"/>
    <n v="74.61"/>
    <x v="1"/>
  </r>
  <r>
    <s v="ORD-1211"/>
    <x v="69"/>
    <x v="2"/>
    <x v="1"/>
    <s v="Phone"/>
    <x v="209"/>
    <n v="1642.19"/>
    <n v="9"/>
    <n v="0.1"/>
    <n v="-26.17"/>
    <x v="2"/>
  </r>
  <r>
    <s v="ORD-1212"/>
    <x v="20"/>
    <x v="3"/>
    <x v="2"/>
    <s v="Table"/>
    <x v="210"/>
    <n v="1168.58"/>
    <n v="5"/>
    <n v="0"/>
    <n v="203.03"/>
    <x v="2"/>
  </r>
  <r>
    <s v="ORD-1213"/>
    <x v="162"/>
    <x v="3"/>
    <x v="0"/>
    <s v="Pen"/>
    <x v="211"/>
    <n v="313.95"/>
    <n v="6"/>
    <n v="0.15"/>
    <n v="22.15"/>
    <x v="1"/>
  </r>
  <r>
    <s v="ORD-1214"/>
    <x v="163"/>
    <x v="3"/>
    <x v="1"/>
    <s v="Monitor"/>
    <x v="212"/>
    <n v="1099.77"/>
    <n v="8"/>
    <n v="0"/>
    <n v="317.08"/>
    <x v="0"/>
  </r>
  <r>
    <s v="ORD-1215"/>
    <x v="164"/>
    <x v="3"/>
    <x v="1"/>
    <s v="Phone"/>
    <x v="213"/>
    <n v="1510.47"/>
    <n v="9"/>
    <n v="0.15"/>
    <n v="3.67"/>
    <x v="1"/>
  </r>
  <r>
    <s v="ORD-1216"/>
    <x v="81"/>
    <x v="1"/>
    <x v="2"/>
    <s v="Bookcase"/>
    <x v="214"/>
    <n v="1064.8"/>
    <n v="3"/>
    <n v="0.05"/>
    <n v="225.95"/>
    <x v="2"/>
  </r>
  <r>
    <s v="ORD-1217"/>
    <x v="97"/>
    <x v="3"/>
    <x v="0"/>
    <s v="Stapler"/>
    <x v="215"/>
    <n v="316.88"/>
    <n v="7"/>
    <n v="0.15"/>
    <n v="-8.0399999999999991"/>
    <x v="0"/>
  </r>
  <r>
    <s v="ORD-1218"/>
    <x v="9"/>
    <x v="0"/>
    <x v="0"/>
    <s v="Pen"/>
    <x v="216"/>
    <n v="1799.75"/>
    <n v="1"/>
    <n v="0.05"/>
    <n v="254.89"/>
    <x v="2"/>
  </r>
  <r>
    <s v="ORD-1219"/>
    <x v="125"/>
    <x v="1"/>
    <x v="1"/>
    <s v="Monitor"/>
    <x v="217"/>
    <n v="690.28"/>
    <n v="1"/>
    <n v="0.15"/>
    <n v="97.57"/>
    <x v="2"/>
  </r>
  <r>
    <s v="ORD-1220"/>
    <x v="129"/>
    <x v="3"/>
    <x v="2"/>
    <s v="Chair"/>
    <x v="218"/>
    <n v="1384.39"/>
    <n v="4"/>
    <n v="0.1"/>
    <n v="52.21"/>
    <x v="2"/>
  </r>
  <r>
    <s v="ORD-1221"/>
    <x v="152"/>
    <x v="2"/>
    <x v="1"/>
    <s v="Monitor"/>
    <x v="219"/>
    <n v="249.63"/>
    <n v="7"/>
    <n v="0.2"/>
    <n v="-18.79"/>
    <x v="1"/>
  </r>
  <r>
    <s v="ORD-1222"/>
    <x v="135"/>
    <x v="2"/>
    <x v="0"/>
    <s v="Paper"/>
    <x v="220"/>
    <n v="1524.96"/>
    <n v="8"/>
    <n v="0.2"/>
    <n v="-137.19"/>
    <x v="0"/>
  </r>
  <r>
    <s v="ORD-1223"/>
    <x v="165"/>
    <x v="1"/>
    <x v="2"/>
    <s v="Chair"/>
    <x v="221"/>
    <n v="1447.92"/>
    <n v="1"/>
    <n v="0.2"/>
    <n v="-31.15"/>
    <x v="1"/>
  </r>
  <r>
    <s v="ORD-1224"/>
    <x v="166"/>
    <x v="0"/>
    <x v="0"/>
    <s v="Pen"/>
    <x v="222"/>
    <n v="1095.6500000000001"/>
    <n v="2"/>
    <n v="0"/>
    <n v="270.57"/>
    <x v="0"/>
  </r>
  <r>
    <s v="ORD-1225"/>
    <x v="167"/>
    <x v="1"/>
    <x v="2"/>
    <s v="Table"/>
    <x v="223"/>
    <n v="474.78"/>
    <n v="9"/>
    <n v="0.15"/>
    <n v="-1.43"/>
    <x v="2"/>
  </r>
  <r>
    <s v="ORD-1226"/>
    <x v="168"/>
    <x v="3"/>
    <x v="1"/>
    <s v="Printer"/>
    <x v="224"/>
    <n v="1063.02"/>
    <n v="2"/>
    <n v="0.1"/>
    <n v="196.42"/>
    <x v="0"/>
  </r>
  <r>
    <s v="ORD-1227"/>
    <x v="169"/>
    <x v="0"/>
    <x v="1"/>
    <s v="Printer"/>
    <x v="225"/>
    <n v="843.05"/>
    <n v="3"/>
    <n v="0.2"/>
    <n v="-68.150000000000006"/>
    <x v="1"/>
  </r>
  <r>
    <s v="ORD-1228"/>
    <x v="2"/>
    <x v="1"/>
    <x v="0"/>
    <s v="Paper"/>
    <x v="226"/>
    <n v="1214.71"/>
    <n v="2"/>
    <n v="0.05"/>
    <n v="86.28"/>
    <x v="0"/>
  </r>
  <r>
    <s v="ORD-1229"/>
    <x v="170"/>
    <x v="1"/>
    <x v="2"/>
    <s v="Table"/>
    <x v="227"/>
    <n v="1243.8"/>
    <n v="2"/>
    <n v="0.2"/>
    <n v="-73.239999999999995"/>
    <x v="1"/>
  </r>
  <r>
    <s v="ORD-1230"/>
    <x v="118"/>
    <x v="0"/>
    <x v="2"/>
    <s v="Bookcase"/>
    <x v="228"/>
    <n v="985.21"/>
    <n v="8"/>
    <n v="0.2"/>
    <n v="-19.27"/>
    <x v="0"/>
  </r>
  <r>
    <s v="ORD-1231"/>
    <x v="39"/>
    <x v="0"/>
    <x v="2"/>
    <s v="Bookcase"/>
    <x v="229"/>
    <n v="1278.6500000000001"/>
    <n v="2"/>
    <n v="0.1"/>
    <n v="39.99"/>
    <x v="2"/>
  </r>
  <r>
    <s v="ORD-1232"/>
    <x v="171"/>
    <x v="1"/>
    <x v="2"/>
    <s v="Chair"/>
    <x v="230"/>
    <n v="100.57"/>
    <n v="8"/>
    <n v="0"/>
    <n v="8.14"/>
    <x v="0"/>
  </r>
  <r>
    <s v="ORD-1233"/>
    <x v="35"/>
    <x v="3"/>
    <x v="2"/>
    <s v="Bookcase"/>
    <x v="231"/>
    <n v="1870.46"/>
    <n v="4"/>
    <n v="0"/>
    <n v="545.75"/>
    <x v="0"/>
  </r>
  <r>
    <s v="ORD-1234"/>
    <x v="172"/>
    <x v="3"/>
    <x v="1"/>
    <s v="Phone"/>
    <x v="232"/>
    <n v="1090.92"/>
    <n v="2"/>
    <n v="0.1"/>
    <n v="8.85"/>
    <x v="0"/>
  </r>
  <r>
    <s v="ORD-1235"/>
    <x v="173"/>
    <x v="0"/>
    <x v="1"/>
    <s v="Printer"/>
    <x v="233"/>
    <n v="584.05999999999995"/>
    <n v="7"/>
    <n v="0"/>
    <n v="67.739999999999995"/>
    <x v="1"/>
  </r>
  <r>
    <s v="ORD-1236"/>
    <x v="141"/>
    <x v="2"/>
    <x v="1"/>
    <s v="Monitor"/>
    <x v="234"/>
    <n v="1579.72"/>
    <n v="1"/>
    <n v="0.15"/>
    <n v="-46.82"/>
    <x v="1"/>
  </r>
  <r>
    <s v="ORD-1237"/>
    <x v="62"/>
    <x v="2"/>
    <x v="2"/>
    <s v="Table"/>
    <x v="235"/>
    <n v="1680.04"/>
    <n v="2"/>
    <n v="0.1"/>
    <n v="-15.26"/>
    <x v="1"/>
  </r>
  <r>
    <s v="ORD-1238"/>
    <x v="107"/>
    <x v="0"/>
    <x v="0"/>
    <s v="Stapler"/>
    <x v="236"/>
    <n v="342.78"/>
    <n v="4"/>
    <n v="0"/>
    <n v="74.849999999999994"/>
    <x v="1"/>
  </r>
  <r>
    <s v="ORD-1239"/>
    <x v="124"/>
    <x v="1"/>
    <x v="1"/>
    <s v="Phone"/>
    <x v="237"/>
    <n v="1380.18"/>
    <n v="2"/>
    <n v="0"/>
    <n v="310.8"/>
    <x v="1"/>
  </r>
  <r>
    <s v="ORD-1240"/>
    <x v="101"/>
    <x v="0"/>
    <x v="2"/>
    <s v="Chair"/>
    <x v="238"/>
    <n v="149.47999999999999"/>
    <n v="1"/>
    <n v="0.15"/>
    <n v="-5.77"/>
    <x v="2"/>
  </r>
  <r>
    <s v="ORD-1241"/>
    <x v="174"/>
    <x v="3"/>
    <x v="2"/>
    <s v="Bookcase"/>
    <x v="239"/>
    <n v="701.7"/>
    <n v="2"/>
    <n v="0.1"/>
    <n v="132.63999999999999"/>
    <x v="2"/>
  </r>
  <r>
    <s v="ORD-1242"/>
    <x v="12"/>
    <x v="3"/>
    <x v="2"/>
    <s v="Sofa"/>
    <x v="240"/>
    <n v="1551.19"/>
    <n v="10"/>
    <n v="0.1"/>
    <n v="-73.36"/>
    <x v="1"/>
  </r>
  <r>
    <s v="ORD-1243"/>
    <x v="42"/>
    <x v="2"/>
    <x v="1"/>
    <s v="Laptop"/>
    <x v="241"/>
    <n v="1771.65"/>
    <n v="4"/>
    <n v="0"/>
    <n v="314.56"/>
    <x v="0"/>
  </r>
  <r>
    <s v="ORD-1244"/>
    <x v="35"/>
    <x v="1"/>
    <x v="1"/>
    <s v="Monitor"/>
    <x v="242"/>
    <n v="104.99"/>
    <n v="7"/>
    <n v="0.05"/>
    <n v="12.61"/>
    <x v="1"/>
  </r>
  <r>
    <s v="ORD-1245"/>
    <x v="95"/>
    <x v="2"/>
    <x v="2"/>
    <s v="Table"/>
    <x v="243"/>
    <n v="917.72"/>
    <n v="3"/>
    <n v="0.1"/>
    <n v="180.29"/>
    <x v="0"/>
  </r>
  <r>
    <s v="ORD-1246"/>
    <x v="175"/>
    <x v="1"/>
    <x v="0"/>
    <s v="Pen"/>
    <x v="244"/>
    <n v="1484.02"/>
    <n v="9"/>
    <n v="0.05"/>
    <n v="336.88"/>
    <x v="2"/>
  </r>
  <r>
    <s v="ORD-1247"/>
    <x v="97"/>
    <x v="0"/>
    <x v="1"/>
    <s v="Laptop"/>
    <x v="245"/>
    <n v="321.19"/>
    <n v="7"/>
    <n v="0.15"/>
    <n v="-5.62"/>
    <x v="0"/>
  </r>
  <r>
    <s v="ORD-1248"/>
    <x v="176"/>
    <x v="1"/>
    <x v="2"/>
    <s v="Bookcase"/>
    <x v="246"/>
    <n v="454.44"/>
    <n v="6"/>
    <n v="0"/>
    <n v="124.14"/>
    <x v="1"/>
  </r>
  <r>
    <s v="ORD-1249"/>
    <x v="44"/>
    <x v="0"/>
    <x v="0"/>
    <s v="Stapler"/>
    <x v="247"/>
    <n v="910.53"/>
    <n v="7"/>
    <n v="0.15"/>
    <n v="110.8"/>
    <x v="0"/>
  </r>
  <r>
    <s v="ORD-1250"/>
    <x v="177"/>
    <x v="2"/>
    <x v="1"/>
    <s v="Phone"/>
    <x v="248"/>
    <n v="1378.64"/>
    <n v="5"/>
    <n v="0.2"/>
    <n v="31.99"/>
    <x v="2"/>
  </r>
  <r>
    <s v="ORD-1251"/>
    <x v="159"/>
    <x v="1"/>
    <x v="1"/>
    <s v="Phone"/>
    <x v="249"/>
    <n v="1323.68"/>
    <n v="6"/>
    <n v="0.15"/>
    <n v="190.92"/>
    <x v="0"/>
  </r>
  <r>
    <s v="ORD-1252"/>
    <x v="40"/>
    <x v="2"/>
    <x v="1"/>
    <s v="Laptop"/>
    <x v="250"/>
    <n v="168.27"/>
    <n v="9"/>
    <n v="0.15"/>
    <n v="20.059999999999999"/>
    <x v="0"/>
  </r>
  <r>
    <s v="ORD-1253"/>
    <x v="178"/>
    <x v="1"/>
    <x v="0"/>
    <s v="Stapler"/>
    <x v="251"/>
    <n v="1451.61"/>
    <n v="4"/>
    <n v="0.1"/>
    <n v="109.24"/>
    <x v="1"/>
  </r>
  <r>
    <s v="ORD-1254"/>
    <x v="179"/>
    <x v="2"/>
    <x v="1"/>
    <s v="Laptop"/>
    <x v="252"/>
    <n v="1244.69"/>
    <n v="6"/>
    <n v="0.1"/>
    <n v="185.02"/>
    <x v="0"/>
  </r>
  <r>
    <s v="ORD-1255"/>
    <x v="103"/>
    <x v="3"/>
    <x v="2"/>
    <s v="Chair"/>
    <x v="253"/>
    <n v="855.41"/>
    <n v="6"/>
    <n v="0.15"/>
    <n v="61.6"/>
    <x v="0"/>
  </r>
  <r>
    <s v="ORD-1256"/>
    <x v="180"/>
    <x v="0"/>
    <x v="1"/>
    <s v="Printer"/>
    <x v="254"/>
    <n v="388.34"/>
    <n v="3"/>
    <n v="0"/>
    <n v="52.65"/>
    <x v="0"/>
  </r>
  <r>
    <s v="ORD-1257"/>
    <x v="181"/>
    <x v="1"/>
    <x v="2"/>
    <s v="Chair"/>
    <x v="255"/>
    <n v="78.430000000000007"/>
    <n v="3"/>
    <n v="0"/>
    <n v="14.19"/>
    <x v="1"/>
  </r>
  <r>
    <s v="ORD-1258"/>
    <x v="182"/>
    <x v="3"/>
    <x v="1"/>
    <s v="Monitor"/>
    <x v="256"/>
    <n v="331.32"/>
    <n v="4"/>
    <n v="0"/>
    <n v="91.39"/>
    <x v="0"/>
  </r>
  <r>
    <s v="ORD-1259"/>
    <x v="89"/>
    <x v="0"/>
    <x v="1"/>
    <s v="Laptop"/>
    <x v="257"/>
    <n v="450.64"/>
    <n v="8"/>
    <n v="0"/>
    <n v="127.57"/>
    <x v="2"/>
  </r>
  <r>
    <s v="ORD-1260"/>
    <x v="43"/>
    <x v="2"/>
    <x v="1"/>
    <s v="Printer"/>
    <x v="258"/>
    <n v="419.05"/>
    <n v="4"/>
    <n v="0.15"/>
    <n v="-10.02"/>
    <x v="0"/>
  </r>
  <r>
    <s v="ORD-1261"/>
    <x v="122"/>
    <x v="0"/>
    <x v="0"/>
    <s v="Pen"/>
    <x v="259"/>
    <n v="1042.25"/>
    <n v="8"/>
    <n v="0.15"/>
    <n v="116.5"/>
    <x v="2"/>
  </r>
  <r>
    <s v="ORD-1262"/>
    <x v="110"/>
    <x v="2"/>
    <x v="1"/>
    <s v="Printer"/>
    <x v="260"/>
    <n v="1034.56"/>
    <n v="6"/>
    <n v="0.05"/>
    <n v="88.43"/>
    <x v="0"/>
  </r>
  <r>
    <s v="ORD-1263"/>
    <x v="2"/>
    <x v="1"/>
    <x v="1"/>
    <s v="Laptop"/>
    <x v="261"/>
    <n v="1362.52"/>
    <n v="6"/>
    <n v="0.05"/>
    <n v="264.72000000000003"/>
    <x v="2"/>
  </r>
  <r>
    <s v="ORD-1264"/>
    <x v="183"/>
    <x v="2"/>
    <x v="1"/>
    <s v="Printer"/>
    <x v="262"/>
    <n v="1647"/>
    <n v="7"/>
    <n v="0.1"/>
    <n v="187"/>
    <x v="2"/>
  </r>
  <r>
    <s v="ORD-1265"/>
    <x v="184"/>
    <x v="3"/>
    <x v="2"/>
    <s v="Chair"/>
    <x v="263"/>
    <n v="634.46"/>
    <n v="3"/>
    <n v="0"/>
    <n v="183.95"/>
    <x v="1"/>
  </r>
  <r>
    <s v="ORD-1266"/>
    <x v="72"/>
    <x v="2"/>
    <x v="1"/>
    <s v="Monitor"/>
    <x v="212"/>
    <n v="910.04"/>
    <n v="1"/>
    <n v="0"/>
    <n v="111.94"/>
    <x v="2"/>
  </r>
  <r>
    <s v="ORD-1267"/>
    <x v="149"/>
    <x v="3"/>
    <x v="1"/>
    <s v="Printer"/>
    <x v="264"/>
    <n v="536.61"/>
    <n v="5"/>
    <n v="0.2"/>
    <n v="-10.41"/>
    <x v="1"/>
  </r>
  <r>
    <s v="ORD-1268"/>
    <x v="147"/>
    <x v="3"/>
    <x v="1"/>
    <s v="Laptop"/>
    <x v="265"/>
    <n v="390.82"/>
    <n v="5"/>
    <n v="0"/>
    <n v="49.1"/>
    <x v="1"/>
  </r>
  <r>
    <s v="ORD-1269"/>
    <x v="185"/>
    <x v="3"/>
    <x v="1"/>
    <s v="Phone"/>
    <x v="266"/>
    <n v="1102.27"/>
    <n v="7"/>
    <n v="0.05"/>
    <n v="50.21"/>
    <x v="0"/>
  </r>
  <r>
    <s v="ORD-1270"/>
    <x v="186"/>
    <x v="0"/>
    <x v="0"/>
    <s v="Stapler"/>
    <x v="267"/>
    <n v="1379.51"/>
    <n v="1"/>
    <n v="0"/>
    <n v="248.21"/>
    <x v="1"/>
  </r>
  <r>
    <s v="ORD-1271"/>
    <x v="187"/>
    <x v="3"/>
    <x v="2"/>
    <s v="Table"/>
    <x v="268"/>
    <n v="1018.89"/>
    <n v="2"/>
    <n v="0.15"/>
    <n v="-95.74"/>
    <x v="2"/>
  </r>
  <r>
    <s v="ORD-1272"/>
    <x v="6"/>
    <x v="3"/>
    <x v="0"/>
    <s v="Paper"/>
    <x v="269"/>
    <n v="1391.85"/>
    <n v="9"/>
    <n v="0.2"/>
    <n v="-2.48"/>
    <x v="1"/>
  </r>
  <r>
    <s v="ORD-1273"/>
    <x v="109"/>
    <x v="3"/>
    <x v="2"/>
    <s v="Table"/>
    <x v="270"/>
    <n v="1408.5"/>
    <n v="7"/>
    <n v="0"/>
    <n v="225"/>
    <x v="2"/>
  </r>
  <r>
    <s v="ORD-1274"/>
    <x v="53"/>
    <x v="1"/>
    <x v="1"/>
    <s v="Monitor"/>
    <x v="271"/>
    <n v="229.58"/>
    <n v="1"/>
    <n v="0.1"/>
    <n v="0.86"/>
    <x v="1"/>
  </r>
  <r>
    <s v="ORD-1275"/>
    <x v="120"/>
    <x v="2"/>
    <x v="1"/>
    <s v="Printer"/>
    <x v="272"/>
    <n v="1875.93"/>
    <n v="4"/>
    <n v="0"/>
    <n v="107.38"/>
    <x v="1"/>
  </r>
  <r>
    <s v="ORD-1276"/>
    <x v="188"/>
    <x v="3"/>
    <x v="2"/>
    <s v="Bookcase"/>
    <x v="273"/>
    <n v="1546.89"/>
    <n v="10"/>
    <n v="0.2"/>
    <n v="-46.37"/>
    <x v="0"/>
  </r>
  <r>
    <s v="ORD-1277"/>
    <x v="99"/>
    <x v="0"/>
    <x v="0"/>
    <s v="Stapler"/>
    <x v="274"/>
    <n v="358.37"/>
    <n v="7"/>
    <n v="0.1"/>
    <n v="16.64"/>
    <x v="2"/>
  </r>
  <r>
    <s v="ORD-1278"/>
    <x v="181"/>
    <x v="3"/>
    <x v="0"/>
    <s v="Paper"/>
    <x v="275"/>
    <n v="1119.1099999999999"/>
    <n v="3"/>
    <n v="0"/>
    <n v="319.02"/>
    <x v="0"/>
  </r>
  <r>
    <s v="ORD-1279"/>
    <x v="189"/>
    <x v="0"/>
    <x v="1"/>
    <s v="Printer"/>
    <x v="276"/>
    <n v="856.21"/>
    <n v="4"/>
    <n v="0.1"/>
    <n v="-24.59"/>
    <x v="1"/>
  </r>
  <r>
    <s v="ORD-1280"/>
    <x v="81"/>
    <x v="1"/>
    <x v="2"/>
    <s v="Table"/>
    <x v="277"/>
    <n v="1351.04"/>
    <n v="7"/>
    <n v="0.1"/>
    <n v="-60.74"/>
    <x v="2"/>
  </r>
  <r>
    <s v="ORD-1281"/>
    <x v="190"/>
    <x v="0"/>
    <x v="1"/>
    <s v="Phone"/>
    <x v="278"/>
    <n v="1430.66"/>
    <n v="5"/>
    <n v="0.15"/>
    <n v="204.84"/>
    <x v="2"/>
  </r>
  <r>
    <s v="ORD-1282"/>
    <x v="115"/>
    <x v="3"/>
    <x v="2"/>
    <s v="Chair"/>
    <x v="279"/>
    <n v="887.56"/>
    <n v="10"/>
    <n v="0.05"/>
    <n v="98.22"/>
    <x v="0"/>
  </r>
  <r>
    <s v="ORD-1283"/>
    <x v="191"/>
    <x v="0"/>
    <x v="1"/>
    <s v="Printer"/>
    <x v="280"/>
    <n v="229.47"/>
    <n v="3"/>
    <n v="0"/>
    <n v="12.56"/>
    <x v="2"/>
  </r>
  <r>
    <s v="ORD-1284"/>
    <x v="192"/>
    <x v="2"/>
    <x v="2"/>
    <s v="Chair"/>
    <x v="281"/>
    <n v="186.28"/>
    <n v="1"/>
    <n v="0.2"/>
    <n v="-8.16"/>
    <x v="2"/>
  </r>
  <r>
    <s v="ORD-1285"/>
    <x v="72"/>
    <x v="0"/>
    <x v="0"/>
    <s v="Binder"/>
    <x v="282"/>
    <n v="1310.23"/>
    <n v="7"/>
    <n v="0.1"/>
    <n v="240.98"/>
    <x v="1"/>
  </r>
  <r>
    <s v="ORD-1286"/>
    <x v="153"/>
    <x v="2"/>
    <x v="1"/>
    <s v="Laptop"/>
    <x v="283"/>
    <n v="1603.58"/>
    <n v="8"/>
    <n v="0"/>
    <n v="168.83"/>
    <x v="0"/>
  </r>
  <r>
    <s v="ORD-1287"/>
    <x v="193"/>
    <x v="1"/>
    <x v="2"/>
    <s v="Sofa"/>
    <x v="284"/>
    <n v="894.81"/>
    <n v="10"/>
    <n v="0.1"/>
    <n v="165.56"/>
    <x v="2"/>
  </r>
  <r>
    <s v="ORD-1288"/>
    <x v="194"/>
    <x v="2"/>
    <x v="2"/>
    <s v="Table"/>
    <x v="285"/>
    <n v="308.42"/>
    <n v="6"/>
    <n v="0.05"/>
    <n v="40.96"/>
    <x v="2"/>
  </r>
  <r>
    <s v="ORD-1289"/>
    <x v="153"/>
    <x v="2"/>
    <x v="1"/>
    <s v="Phone"/>
    <x v="286"/>
    <n v="557.88"/>
    <n v="6"/>
    <n v="0"/>
    <n v="86.01"/>
    <x v="0"/>
  </r>
  <r>
    <s v="ORD-1290"/>
    <x v="195"/>
    <x v="3"/>
    <x v="1"/>
    <s v="Phone"/>
    <x v="287"/>
    <n v="1149.3499999999999"/>
    <n v="4"/>
    <n v="0.2"/>
    <n v="-155.80000000000001"/>
    <x v="0"/>
  </r>
  <r>
    <s v="ORD-1291"/>
    <x v="176"/>
    <x v="0"/>
    <x v="1"/>
    <s v="Phone"/>
    <x v="288"/>
    <n v="1526.21"/>
    <n v="2"/>
    <n v="0"/>
    <n v="356.44"/>
    <x v="1"/>
  </r>
  <r>
    <s v="ORD-1292"/>
    <x v="122"/>
    <x v="2"/>
    <x v="1"/>
    <s v="Phone"/>
    <x v="289"/>
    <n v="1042.45"/>
    <n v="3"/>
    <n v="0.2"/>
    <n v="103.99"/>
    <x v="2"/>
  </r>
  <r>
    <s v="ORD-1293"/>
    <x v="196"/>
    <x v="2"/>
    <x v="2"/>
    <s v="Chair"/>
    <x v="290"/>
    <n v="1103.45"/>
    <n v="7"/>
    <n v="0.15"/>
    <n v="118.93"/>
    <x v="0"/>
  </r>
  <r>
    <s v="ORD-1294"/>
    <x v="197"/>
    <x v="0"/>
    <x v="2"/>
    <s v="Chair"/>
    <x v="291"/>
    <n v="1770.08"/>
    <n v="1"/>
    <n v="0.1"/>
    <n v="-75.55"/>
    <x v="2"/>
  </r>
  <r>
    <s v="ORD-1295"/>
    <x v="129"/>
    <x v="1"/>
    <x v="2"/>
    <s v="Chair"/>
    <x v="292"/>
    <n v="371.99"/>
    <n v="9"/>
    <n v="0.1"/>
    <n v="-10.9"/>
    <x v="1"/>
  </r>
  <r>
    <s v="ORD-1296"/>
    <x v="15"/>
    <x v="3"/>
    <x v="0"/>
    <s v="Paper"/>
    <x v="293"/>
    <n v="182.52"/>
    <n v="4"/>
    <n v="0.15"/>
    <n v="-9.76"/>
    <x v="1"/>
  </r>
  <r>
    <s v="ORD-1297"/>
    <x v="198"/>
    <x v="3"/>
    <x v="2"/>
    <s v="Sofa"/>
    <x v="294"/>
    <n v="881.17"/>
    <n v="3"/>
    <n v="0"/>
    <n v="165.78"/>
    <x v="0"/>
  </r>
  <r>
    <s v="ORD-1298"/>
    <x v="199"/>
    <x v="2"/>
    <x v="0"/>
    <s v="Paper"/>
    <x v="113"/>
    <n v="431.25"/>
    <n v="1"/>
    <n v="0.15"/>
    <n v="44.69"/>
    <x v="2"/>
  </r>
  <r>
    <s v="ORD-1299"/>
    <x v="200"/>
    <x v="0"/>
    <x v="1"/>
    <s v="Laptop"/>
    <x v="295"/>
    <n v="334.41"/>
    <n v="10"/>
    <n v="0"/>
    <n v="81.510000000000005"/>
    <x v="0"/>
  </r>
  <r>
    <s v="ORD-1300"/>
    <x v="163"/>
    <x v="1"/>
    <x v="2"/>
    <s v="Table"/>
    <x v="296"/>
    <n v="259.27"/>
    <n v="3"/>
    <n v="0.2"/>
    <n v="-32.57"/>
    <x v="0"/>
  </r>
  <r>
    <s v="ORD-1301"/>
    <x v="201"/>
    <x v="2"/>
    <x v="1"/>
    <s v="Phone"/>
    <x v="297"/>
    <n v="187.32"/>
    <n v="6"/>
    <n v="0"/>
    <n v="34.96"/>
    <x v="2"/>
  </r>
  <r>
    <s v="ORD-1302"/>
    <x v="202"/>
    <x v="0"/>
    <x v="0"/>
    <s v="Binder"/>
    <x v="298"/>
    <n v="1920.91"/>
    <n v="6"/>
    <n v="0.15"/>
    <n v="-168.76"/>
    <x v="0"/>
  </r>
  <r>
    <s v="ORD-1303"/>
    <x v="147"/>
    <x v="2"/>
    <x v="1"/>
    <s v="Printer"/>
    <x v="299"/>
    <n v="1704.02"/>
    <n v="7"/>
    <n v="0.2"/>
    <n v="54.94"/>
    <x v="2"/>
  </r>
  <r>
    <s v="ORD-1304"/>
    <x v="203"/>
    <x v="0"/>
    <x v="0"/>
    <s v="Binder"/>
    <x v="300"/>
    <n v="920.6"/>
    <n v="2"/>
    <n v="0.2"/>
    <n v="-64.69"/>
    <x v="1"/>
  </r>
  <r>
    <s v="ORD-1305"/>
    <x v="204"/>
    <x v="0"/>
    <x v="0"/>
    <s v="Pen"/>
    <x v="301"/>
    <n v="808.35"/>
    <n v="7"/>
    <n v="0.1"/>
    <n v="117.31"/>
    <x v="0"/>
  </r>
  <r>
    <s v="ORD-1306"/>
    <x v="205"/>
    <x v="1"/>
    <x v="0"/>
    <s v="Stapler"/>
    <x v="302"/>
    <n v="1758.46"/>
    <n v="2"/>
    <n v="0"/>
    <n v="114.26"/>
    <x v="1"/>
  </r>
  <r>
    <s v="ORD-1307"/>
    <x v="81"/>
    <x v="1"/>
    <x v="0"/>
    <s v="Binder"/>
    <x v="303"/>
    <n v="973.14"/>
    <n v="3"/>
    <n v="0"/>
    <n v="89.28"/>
    <x v="1"/>
  </r>
  <r>
    <s v="ORD-1308"/>
    <x v="206"/>
    <x v="0"/>
    <x v="2"/>
    <s v="Chair"/>
    <x v="304"/>
    <n v="564.22"/>
    <n v="9"/>
    <n v="0"/>
    <n v="40.159999999999997"/>
    <x v="2"/>
  </r>
  <r>
    <s v="ORD-1309"/>
    <x v="207"/>
    <x v="0"/>
    <x v="0"/>
    <s v="Paper"/>
    <x v="305"/>
    <n v="1561.99"/>
    <n v="4"/>
    <n v="0.15"/>
    <n v="79.03"/>
    <x v="0"/>
  </r>
  <r>
    <s v="ORD-1310"/>
    <x v="41"/>
    <x v="1"/>
    <x v="1"/>
    <s v="Laptop"/>
    <x v="306"/>
    <n v="1394.07"/>
    <n v="3"/>
    <n v="0.1"/>
    <n v="-62.13"/>
    <x v="0"/>
  </r>
  <r>
    <s v="ORD-1311"/>
    <x v="208"/>
    <x v="0"/>
    <x v="1"/>
    <s v="Monitor"/>
    <x v="307"/>
    <n v="311.36"/>
    <n v="3"/>
    <n v="0.2"/>
    <n v="20.62"/>
    <x v="1"/>
  </r>
  <r>
    <s v="ORD-1312"/>
    <x v="64"/>
    <x v="3"/>
    <x v="0"/>
    <s v="Stapler"/>
    <x v="308"/>
    <n v="629.44000000000005"/>
    <n v="4"/>
    <n v="0.1"/>
    <n v="30.5"/>
    <x v="2"/>
  </r>
  <r>
    <s v="ORD-1313"/>
    <x v="22"/>
    <x v="3"/>
    <x v="2"/>
    <s v="Sofa"/>
    <x v="309"/>
    <n v="342.82"/>
    <n v="6"/>
    <n v="0.2"/>
    <n v="-16.27"/>
    <x v="2"/>
  </r>
  <r>
    <s v="ORD-1314"/>
    <x v="209"/>
    <x v="0"/>
    <x v="1"/>
    <s v="Monitor"/>
    <x v="310"/>
    <n v="1835.4"/>
    <n v="7"/>
    <n v="0.1"/>
    <n v="-18.16"/>
    <x v="2"/>
  </r>
  <r>
    <s v="ORD-1315"/>
    <x v="210"/>
    <x v="1"/>
    <x v="1"/>
    <s v="Printer"/>
    <x v="311"/>
    <n v="1573.08"/>
    <n v="1"/>
    <n v="0.2"/>
    <n v="-222.89"/>
    <x v="1"/>
  </r>
  <r>
    <s v="ORD-1316"/>
    <x v="211"/>
    <x v="0"/>
    <x v="2"/>
    <s v="Chair"/>
    <x v="312"/>
    <n v="377.21"/>
    <n v="1"/>
    <n v="0.15"/>
    <n v="14.92"/>
    <x v="2"/>
  </r>
  <r>
    <s v="ORD-1317"/>
    <x v="175"/>
    <x v="0"/>
    <x v="0"/>
    <s v="Paper"/>
    <x v="313"/>
    <n v="886.87"/>
    <n v="3"/>
    <n v="0.1"/>
    <n v="169.55"/>
    <x v="2"/>
  </r>
  <r>
    <s v="ORD-1318"/>
    <x v="149"/>
    <x v="0"/>
    <x v="0"/>
    <s v="Binder"/>
    <x v="314"/>
    <n v="674.96"/>
    <n v="2"/>
    <n v="0"/>
    <n v="82.21"/>
    <x v="0"/>
  </r>
  <r>
    <s v="ORD-1319"/>
    <x v="201"/>
    <x v="1"/>
    <x v="1"/>
    <s v="Phone"/>
    <x v="315"/>
    <n v="1607.62"/>
    <n v="1"/>
    <n v="0.15"/>
    <n v="57.93"/>
    <x v="2"/>
  </r>
  <r>
    <s v="ORD-1320"/>
    <x v="137"/>
    <x v="0"/>
    <x v="1"/>
    <s v="Monitor"/>
    <x v="316"/>
    <n v="615.83000000000004"/>
    <n v="10"/>
    <n v="0"/>
    <n v="116.25"/>
    <x v="2"/>
  </r>
  <r>
    <s v="ORD-1321"/>
    <x v="212"/>
    <x v="1"/>
    <x v="0"/>
    <s v="Paper"/>
    <x v="317"/>
    <n v="710.44"/>
    <n v="1"/>
    <n v="0.15"/>
    <n v="-4.9400000000000004"/>
    <x v="0"/>
  </r>
  <r>
    <s v="ORD-1322"/>
    <x v="63"/>
    <x v="3"/>
    <x v="0"/>
    <s v="Binder"/>
    <x v="318"/>
    <n v="939.36"/>
    <n v="4"/>
    <n v="0.2"/>
    <n v="-28.51"/>
    <x v="1"/>
  </r>
  <r>
    <s v="ORD-1323"/>
    <x v="109"/>
    <x v="0"/>
    <x v="1"/>
    <s v="Laptop"/>
    <x v="319"/>
    <n v="1631.16"/>
    <n v="7"/>
    <n v="0.05"/>
    <n v="363.12"/>
    <x v="2"/>
  </r>
  <r>
    <s v="ORD-1324"/>
    <x v="141"/>
    <x v="2"/>
    <x v="2"/>
    <s v="Chair"/>
    <x v="320"/>
    <n v="934.61"/>
    <n v="7"/>
    <n v="0.1"/>
    <n v="60.49"/>
    <x v="1"/>
  </r>
  <r>
    <s v="ORD-1325"/>
    <x v="41"/>
    <x v="2"/>
    <x v="0"/>
    <s v="Stapler"/>
    <x v="321"/>
    <n v="1745.82"/>
    <n v="1"/>
    <n v="0.2"/>
    <n v="-213.22"/>
    <x v="2"/>
  </r>
  <r>
    <s v="ORD-1326"/>
    <x v="161"/>
    <x v="2"/>
    <x v="2"/>
    <s v="Chair"/>
    <x v="322"/>
    <n v="485.97"/>
    <n v="5"/>
    <n v="0.1"/>
    <n v="52.83"/>
    <x v="1"/>
  </r>
  <r>
    <s v="ORD-1327"/>
    <x v="213"/>
    <x v="2"/>
    <x v="0"/>
    <s v="Binder"/>
    <x v="323"/>
    <n v="1366.57"/>
    <n v="5"/>
    <n v="0"/>
    <n v="155.11000000000001"/>
    <x v="1"/>
  </r>
  <r>
    <s v="ORD-1328"/>
    <x v="214"/>
    <x v="0"/>
    <x v="1"/>
    <s v="Monitor"/>
    <x v="324"/>
    <n v="1899.4"/>
    <n v="10"/>
    <n v="0.1"/>
    <n v="-44.42"/>
    <x v="0"/>
  </r>
  <r>
    <s v="ORD-1329"/>
    <x v="105"/>
    <x v="3"/>
    <x v="0"/>
    <s v="Stapler"/>
    <x v="325"/>
    <n v="815.32"/>
    <n v="2"/>
    <n v="0.2"/>
    <n v="-41.21"/>
    <x v="1"/>
  </r>
  <r>
    <s v="ORD-1330"/>
    <x v="215"/>
    <x v="2"/>
    <x v="1"/>
    <s v="Printer"/>
    <x v="326"/>
    <n v="1467.1"/>
    <n v="8"/>
    <n v="0.2"/>
    <n v="-5.14"/>
    <x v="2"/>
  </r>
  <r>
    <s v="ORD-1331"/>
    <x v="185"/>
    <x v="0"/>
    <x v="2"/>
    <s v="Bookcase"/>
    <x v="327"/>
    <n v="1991.29"/>
    <n v="2"/>
    <n v="0"/>
    <n v="289.8"/>
    <x v="2"/>
  </r>
  <r>
    <s v="ORD-1332"/>
    <x v="142"/>
    <x v="0"/>
    <x v="2"/>
    <s v="Bookcase"/>
    <x v="328"/>
    <n v="1975.41"/>
    <n v="7"/>
    <n v="0"/>
    <n v="482.73"/>
    <x v="1"/>
  </r>
  <r>
    <s v="ORD-1333"/>
    <x v="63"/>
    <x v="3"/>
    <x v="2"/>
    <s v="Chair"/>
    <x v="329"/>
    <n v="1301.23"/>
    <n v="3"/>
    <n v="0.2"/>
    <n v="7.65"/>
    <x v="1"/>
  </r>
  <r>
    <s v="ORD-1334"/>
    <x v="216"/>
    <x v="1"/>
    <x v="1"/>
    <s v="Printer"/>
    <x v="330"/>
    <n v="143.88999999999999"/>
    <n v="9"/>
    <n v="0.15"/>
    <n v="-13.29"/>
    <x v="1"/>
  </r>
  <r>
    <s v="ORD-1335"/>
    <x v="217"/>
    <x v="0"/>
    <x v="0"/>
    <s v="Pen"/>
    <x v="331"/>
    <n v="1799.02"/>
    <n v="5"/>
    <n v="0.1"/>
    <n v="9.82"/>
    <x v="0"/>
  </r>
  <r>
    <s v="ORD-1336"/>
    <x v="173"/>
    <x v="3"/>
    <x v="1"/>
    <s v="Monitor"/>
    <x v="242"/>
    <n v="995.22"/>
    <n v="4"/>
    <n v="0.15"/>
    <n v="81.78"/>
    <x v="0"/>
  </r>
  <r>
    <s v="ORD-1337"/>
    <x v="206"/>
    <x v="3"/>
    <x v="1"/>
    <s v="Monitor"/>
    <x v="332"/>
    <n v="926.55"/>
    <n v="10"/>
    <n v="0.2"/>
    <n v="-18.45"/>
    <x v="2"/>
  </r>
  <r>
    <s v="ORD-1338"/>
    <x v="218"/>
    <x v="2"/>
    <x v="1"/>
    <s v="Laptop"/>
    <x v="261"/>
    <n v="1671.79"/>
    <n v="4"/>
    <n v="0.2"/>
    <n v="-162.30000000000001"/>
    <x v="0"/>
  </r>
  <r>
    <s v="ORD-1339"/>
    <x v="219"/>
    <x v="2"/>
    <x v="2"/>
    <s v="Bookcase"/>
    <x v="333"/>
    <n v="1495.32"/>
    <n v="3"/>
    <n v="0.05"/>
    <n v="344.98"/>
    <x v="1"/>
  </r>
  <r>
    <s v="ORD-1340"/>
    <x v="179"/>
    <x v="2"/>
    <x v="1"/>
    <s v="Printer"/>
    <x v="334"/>
    <n v="1134.69"/>
    <n v="6"/>
    <n v="0"/>
    <n v="74.760000000000005"/>
    <x v="2"/>
  </r>
  <r>
    <s v="ORD-1341"/>
    <x v="44"/>
    <x v="0"/>
    <x v="2"/>
    <s v="Sofa"/>
    <x v="335"/>
    <n v="631.26"/>
    <n v="4"/>
    <n v="0.1"/>
    <n v="-6.52"/>
    <x v="0"/>
  </r>
  <r>
    <s v="ORD-1342"/>
    <x v="220"/>
    <x v="0"/>
    <x v="1"/>
    <s v="Laptop"/>
    <x v="336"/>
    <n v="765.19"/>
    <n v="10"/>
    <n v="0.1"/>
    <n v="132.65"/>
    <x v="0"/>
  </r>
  <r>
    <s v="ORD-1343"/>
    <x v="141"/>
    <x v="3"/>
    <x v="0"/>
    <s v="Stapler"/>
    <x v="337"/>
    <n v="434.64"/>
    <n v="8"/>
    <n v="0.1"/>
    <n v="55.54"/>
    <x v="0"/>
  </r>
  <r>
    <s v="ORD-1344"/>
    <x v="221"/>
    <x v="1"/>
    <x v="1"/>
    <s v="Laptop"/>
    <x v="338"/>
    <n v="1943.58"/>
    <n v="7"/>
    <n v="0.15"/>
    <n v="261.5"/>
    <x v="1"/>
  </r>
  <r>
    <s v="ORD-1345"/>
    <x v="222"/>
    <x v="1"/>
    <x v="1"/>
    <s v="Phone"/>
    <x v="339"/>
    <n v="1340.05"/>
    <n v="10"/>
    <n v="0.1"/>
    <n v="76.849999999999994"/>
    <x v="0"/>
  </r>
  <r>
    <s v="ORD-1346"/>
    <x v="135"/>
    <x v="2"/>
    <x v="2"/>
    <s v="Chair"/>
    <x v="340"/>
    <n v="1482.2"/>
    <n v="9"/>
    <n v="0.05"/>
    <n v="3.8"/>
    <x v="1"/>
  </r>
  <r>
    <s v="ORD-1347"/>
    <x v="131"/>
    <x v="2"/>
    <x v="0"/>
    <s v="Binder"/>
    <x v="341"/>
    <n v="371.59"/>
    <n v="7"/>
    <n v="0.2"/>
    <n v="6.91"/>
    <x v="2"/>
  </r>
  <r>
    <s v="ORD-1348"/>
    <x v="223"/>
    <x v="2"/>
    <x v="0"/>
    <s v="Paper"/>
    <x v="342"/>
    <n v="1036.07"/>
    <n v="7"/>
    <n v="0.15"/>
    <n v="98.52"/>
    <x v="0"/>
  </r>
  <r>
    <s v="ORD-1349"/>
    <x v="108"/>
    <x v="1"/>
    <x v="1"/>
    <s v="Phone"/>
    <x v="343"/>
    <n v="975"/>
    <n v="10"/>
    <n v="0.2"/>
    <n v="95.72"/>
    <x v="1"/>
  </r>
  <r>
    <s v="ORD-1350"/>
    <x v="224"/>
    <x v="1"/>
    <x v="0"/>
    <s v="Binder"/>
    <x v="344"/>
    <n v="1276.9100000000001"/>
    <n v="1"/>
    <n v="0.2"/>
    <n v="111.39"/>
    <x v="0"/>
  </r>
  <r>
    <s v="ORD-1351"/>
    <x v="201"/>
    <x v="3"/>
    <x v="0"/>
    <s v="Paper"/>
    <x v="345"/>
    <n v="910.02"/>
    <n v="10"/>
    <n v="0.15"/>
    <n v="97.43"/>
    <x v="0"/>
  </r>
  <r>
    <s v="ORD-1352"/>
    <x v="199"/>
    <x v="2"/>
    <x v="0"/>
    <s v="Pen"/>
    <x v="346"/>
    <n v="893.81"/>
    <n v="2"/>
    <n v="0.15"/>
    <n v="8.5299999999999994"/>
    <x v="2"/>
  </r>
  <r>
    <s v="ORD-1353"/>
    <x v="72"/>
    <x v="1"/>
    <x v="1"/>
    <s v="Laptop"/>
    <x v="347"/>
    <n v="1907.42"/>
    <n v="5"/>
    <n v="0.1"/>
    <n v="106.26"/>
    <x v="0"/>
  </r>
  <r>
    <s v="ORD-1354"/>
    <x v="152"/>
    <x v="1"/>
    <x v="0"/>
    <s v="Binder"/>
    <x v="348"/>
    <n v="753.64"/>
    <n v="9"/>
    <n v="0"/>
    <n v="44.12"/>
    <x v="2"/>
  </r>
  <r>
    <s v="ORD-1355"/>
    <x v="203"/>
    <x v="1"/>
    <x v="0"/>
    <s v="Paper"/>
    <x v="349"/>
    <n v="1301.17"/>
    <n v="8"/>
    <n v="0.05"/>
    <n v="104.22"/>
    <x v="0"/>
  </r>
  <r>
    <s v="ORD-1356"/>
    <x v="51"/>
    <x v="3"/>
    <x v="0"/>
    <s v="Binder"/>
    <x v="350"/>
    <n v="1150.98"/>
    <n v="2"/>
    <n v="0.2"/>
    <n v="109.76"/>
    <x v="0"/>
  </r>
  <r>
    <s v="ORD-1357"/>
    <x v="225"/>
    <x v="3"/>
    <x v="1"/>
    <s v="Printer"/>
    <x v="351"/>
    <n v="61.83"/>
    <n v="1"/>
    <n v="0.1"/>
    <n v="-0.51"/>
    <x v="1"/>
  </r>
  <r>
    <s v="ORD-1358"/>
    <x v="226"/>
    <x v="2"/>
    <x v="2"/>
    <s v="Sofa"/>
    <x v="352"/>
    <n v="100.28"/>
    <n v="6"/>
    <n v="0.15"/>
    <n v="12.7"/>
    <x v="1"/>
  </r>
  <r>
    <s v="ORD-1359"/>
    <x v="103"/>
    <x v="2"/>
    <x v="0"/>
    <s v="Stapler"/>
    <x v="353"/>
    <n v="1503.22"/>
    <n v="10"/>
    <n v="0.05"/>
    <n v="238.52"/>
    <x v="1"/>
  </r>
  <r>
    <s v="ORD-1360"/>
    <x v="227"/>
    <x v="0"/>
    <x v="2"/>
    <s v="Table"/>
    <x v="354"/>
    <n v="129.33000000000001"/>
    <n v="2"/>
    <n v="0.05"/>
    <n v="19.91"/>
    <x v="0"/>
  </r>
  <r>
    <s v="ORD-1361"/>
    <x v="175"/>
    <x v="1"/>
    <x v="2"/>
    <s v="Table"/>
    <x v="355"/>
    <n v="1556.69"/>
    <n v="8"/>
    <n v="0.2"/>
    <n v="56.76"/>
    <x v="1"/>
  </r>
  <r>
    <s v="ORD-1362"/>
    <x v="228"/>
    <x v="3"/>
    <x v="2"/>
    <s v="Sofa"/>
    <x v="356"/>
    <n v="1598.85"/>
    <n v="7"/>
    <n v="0.15"/>
    <n v="185.68"/>
    <x v="0"/>
  </r>
  <r>
    <s v="ORD-1363"/>
    <x v="126"/>
    <x v="0"/>
    <x v="2"/>
    <s v="Table"/>
    <x v="357"/>
    <n v="904.39"/>
    <n v="4"/>
    <n v="0.1"/>
    <n v="18.239999999999998"/>
    <x v="1"/>
  </r>
  <r>
    <s v="ORD-1364"/>
    <x v="229"/>
    <x v="0"/>
    <x v="2"/>
    <s v="Table"/>
    <x v="358"/>
    <n v="235.01"/>
    <n v="5"/>
    <n v="0.1"/>
    <n v="19.850000000000001"/>
    <x v="1"/>
  </r>
  <r>
    <s v="ORD-1365"/>
    <x v="89"/>
    <x v="3"/>
    <x v="0"/>
    <s v="Binder"/>
    <x v="359"/>
    <n v="1148.83"/>
    <n v="10"/>
    <n v="0.2"/>
    <n v="-84.36"/>
    <x v="1"/>
  </r>
  <r>
    <s v="ORD-1366"/>
    <x v="3"/>
    <x v="1"/>
    <x v="2"/>
    <s v="Table"/>
    <x v="360"/>
    <n v="1649.39"/>
    <n v="6"/>
    <n v="0.1"/>
    <n v="121.62"/>
    <x v="2"/>
  </r>
  <r>
    <s v="ORD-1367"/>
    <x v="192"/>
    <x v="2"/>
    <x v="0"/>
    <s v="Paper"/>
    <x v="361"/>
    <n v="847.77"/>
    <n v="6"/>
    <n v="0.2"/>
    <n v="-45.72"/>
    <x v="2"/>
  </r>
  <r>
    <s v="ORD-1368"/>
    <x v="230"/>
    <x v="3"/>
    <x v="1"/>
    <s v="Printer"/>
    <x v="362"/>
    <n v="577.38"/>
    <n v="7"/>
    <n v="0.05"/>
    <n v="21.81"/>
    <x v="1"/>
  </r>
  <r>
    <s v="ORD-1369"/>
    <x v="231"/>
    <x v="0"/>
    <x v="1"/>
    <s v="Phone"/>
    <x v="363"/>
    <n v="974.77"/>
    <n v="4"/>
    <n v="0.1"/>
    <n v="32.93"/>
    <x v="0"/>
  </r>
  <r>
    <s v="ORD-1370"/>
    <x v="197"/>
    <x v="1"/>
    <x v="0"/>
    <s v="Binder"/>
    <x v="364"/>
    <n v="52.02"/>
    <n v="8"/>
    <n v="0.2"/>
    <n v="-0.96"/>
    <x v="1"/>
  </r>
  <r>
    <s v="ORD-1371"/>
    <x v="232"/>
    <x v="0"/>
    <x v="1"/>
    <s v="Printer"/>
    <x v="365"/>
    <n v="720.99"/>
    <n v="9"/>
    <n v="0.2"/>
    <n v="55.41"/>
    <x v="2"/>
  </r>
  <r>
    <s v="ORD-1372"/>
    <x v="56"/>
    <x v="2"/>
    <x v="2"/>
    <s v="Table"/>
    <x v="366"/>
    <n v="1353"/>
    <n v="3"/>
    <n v="0.05"/>
    <n v="44.53"/>
    <x v="1"/>
  </r>
  <r>
    <s v="ORD-1373"/>
    <x v="233"/>
    <x v="0"/>
    <x v="1"/>
    <s v="Laptop"/>
    <x v="367"/>
    <n v="1212.96"/>
    <n v="6"/>
    <n v="0.2"/>
    <n v="-124.1"/>
    <x v="2"/>
  </r>
  <r>
    <s v="ORD-1374"/>
    <x v="19"/>
    <x v="3"/>
    <x v="0"/>
    <s v="Stapler"/>
    <x v="368"/>
    <n v="437.61"/>
    <n v="7"/>
    <n v="0.05"/>
    <n v="65.27"/>
    <x v="1"/>
  </r>
  <r>
    <s v="ORD-1375"/>
    <x v="234"/>
    <x v="2"/>
    <x v="1"/>
    <s v="Printer"/>
    <x v="369"/>
    <n v="1063.45"/>
    <n v="9"/>
    <n v="0.1"/>
    <n v="157.5"/>
    <x v="2"/>
  </r>
  <r>
    <s v="ORD-1376"/>
    <x v="235"/>
    <x v="0"/>
    <x v="2"/>
    <s v="Bookcase"/>
    <x v="370"/>
    <n v="1886.27"/>
    <n v="8"/>
    <n v="0"/>
    <n v="511.28"/>
    <x v="0"/>
  </r>
  <r>
    <s v="ORD-1377"/>
    <x v="128"/>
    <x v="1"/>
    <x v="1"/>
    <s v="Phone"/>
    <x v="371"/>
    <n v="742.86"/>
    <n v="10"/>
    <n v="0.1"/>
    <n v="146.06"/>
    <x v="0"/>
  </r>
  <r>
    <s v="ORD-1378"/>
    <x v="236"/>
    <x v="3"/>
    <x v="1"/>
    <s v="Phone"/>
    <x v="372"/>
    <n v="639.03"/>
    <n v="3"/>
    <n v="0.05"/>
    <n v="81.72"/>
    <x v="2"/>
  </r>
  <r>
    <s v="ORD-1379"/>
    <x v="227"/>
    <x v="2"/>
    <x v="1"/>
    <s v="Monitor"/>
    <x v="373"/>
    <n v="1371.41"/>
    <n v="8"/>
    <n v="0.1"/>
    <n v="0.13"/>
    <x v="1"/>
  </r>
  <r>
    <s v="ORD-1380"/>
    <x v="237"/>
    <x v="3"/>
    <x v="1"/>
    <s v="Laptop"/>
    <x v="374"/>
    <n v="828.77"/>
    <n v="7"/>
    <n v="0.2"/>
    <n v="59.45"/>
    <x v="2"/>
  </r>
  <r>
    <s v="ORD-1381"/>
    <x v="62"/>
    <x v="3"/>
    <x v="2"/>
    <s v="Bookcase"/>
    <x v="375"/>
    <n v="1357.88"/>
    <n v="3"/>
    <n v="0.15"/>
    <n v="-112.99"/>
    <x v="0"/>
  </r>
  <r>
    <s v="ORD-1382"/>
    <x v="151"/>
    <x v="3"/>
    <x v="0"/>
    <s v="Binder"/>
    <x v="376"/>
    <n v="853.11"/>
    <n v="9"/>
    <n v="0.2"/>
    <n v="-43.82"/>
    <x v="2"/>
  </r>
  <r>
    <s v="ORD-1383"/>
    <x v="35"/>
    <x v="2"/>
    <x v="1"/>
    <s v="Phone"/>
    <x v="377"/>
    <n v="129.93"/>
    <n v="4"/>
    <n v="0.15"/>
    <n v="-6.15"/>
    <x v="0"/>
  </r>
  <r>
    <s v="ORD-1384"/>
    <x v="125"/>
    <x v="0"/>
    <x v="0"/>
    <s v="Binder"/>
    <x v="378"/>
    <n v="1951.6"/>
    <n v="7"/>
    <n v="0"/>
    <n v="450.07"/>
    <x v="1"/>
  </r>
  <r>
    <s v="ORD-1385"/>
    <x v="238"/>
    <x v="3"/>
    <x v="0"/>
    <s v="Binder"/>
    <x v="379"/>
    <n v="1117.99"/>
    <n v="6"/>
    <n v="0.05"/>
    <n v="235.41"/>
    <x v="1"/>
  </r>
  <r>
    <s v="ORD-1386"/>
    <x v="16"/>
    <x v="0"/>
    <x v="2"/>
    <s v="Chair"/>
    <x v="380"/>
    <n v="801.7"/>
    <n v="3"/>
    <n v="0.05"/>
    <n v="191.53"/>
    <x v="1"/>
  </r>
  <r>
    <s v="ORD-1387"/>
    <x v="127"/>
    <x v="1"/>
    <x v="0"/>
    <s v="Paper"/>
    <x v="200"/>
    <n v="1131.44"/>
    <n v="7"/>
    <n v="0.1"/>
    <n v="-4.33"/>
    <x v="0"/>
  </r>
  <r>
    <s v="ORD-1388"/>
    <x v="237"/>
    <x v="3"/>
    <x v="0"/>
    <s v="Stapler"/>
    <x v="381"/>
    <n v="1981.38"/>
    <n v="8"/>
    <n v="0.15"/>
    <n v="-86.64"/>
    <x v="0"/>
  </r>
  <r>
    <s v="ORD-1389"/>
    <x v="17"/>
    <x v="3"/>
    <x v="2"/>
    <s v="Sofa"/>
    <x v="382"/>
    <n v="301.70999999999998"/>
    <n v="10"/>
    <n v="0.2"/>
    <n v="2.54"/>
    <x v="0"/>
  </r>
  <r>
    <s v="ORD-1390"/>
    <x v="120"/>
    <x v="3"/>
    <x v="1"/>
    <s v="Laptop"/>
    <x v="383"/>
    <n v="635.85"/>
    <n v="10"/>
    <n v="0.05"/>
    <n v="29.31"/>
    <x v="2"/>
  </r>
  <r>
    <s v="ORD-1391"/>
    <x v="222"/>
    <x v="2"/>
    <x v="0"/>
    <s v="Binder"/>
    <x v="384"/>
    <n v="1161.5899999999999"/>
    <n v="2"/>
    <n v="0.05"/>
    <n v="125.09"/>
    <x v="0"/>
  </r>
  <r>
    <s v="ORD-1392"/>
    <x v="166"/>
    <x v="0"/>
    <x v="1"/>
    <s v="Printer"/>
    <x v="165"/>
    <n v="511.24"/>
    <n v="6"/>
    <n v="0.05"/>
    <n v="66.22"/>
    <x v="1"/>
  </r>
  <r>
    <s v="ORD-1393"/>
    <x v="168"/>
    <x v="2"/>
    <x v="2"/>
    <s v="Table"/>
    <x v="385"/>
    <n v="1283.6600000000001"/>
    <n v="6"/>
    <n v="0.05"/>
    <n v="127.56"/>
    <x v="0"/>
  </r>
  <r>
    <s v="ORD-1394"/>
    <x v="94"/>
    <x v="2"/>
    <x v="1"/>
    <s v="Laptop"/>
    <x v="386"/>
    <n v="1831.42"/>
    <n v="1"/>
    <n v="0.1"/>
    <n v="352.97"/>
    <x v="1"/>
  </r>
  <r>
    <s v="ORD-1395"/>
    <x v="63"/>
    <x v="3"/>
    <x v="0"/>
    <s v="Pen"/>
    <x v="387"/>
    <n v="752.73"/>
    <n v="3"/>
    <n v="0.05"/>
    <n v="176.18"/>
    <x v="2"/>
  </r>
  <r>
    <s v="ORD-1396"/>
    <x v="55"/>
    <x v="0"/>
    <x v="0"/>
    <s v="Binder"/>
    <x v="388"/>
    <n v="1327.14"/>
    <n v="6"/>
    <n v="0.15"/>
    <n v="-49.77"/>
    <x v="2"/>
  </r>
  <r>
    <s v="ORD-1397"/>
    <x v="239"/>
    <x v="1"/>
    <x v="1"/>
    <s v="Monitor"/>
    <x v="389"/>
    <n v="510.57"/>
    <n v="7"/>
    <n v="0.1"/>
    <n v="82.5"/>
    <x v="2"/>
  </r>
  <r>
    <s v="ORD-1398"/>
    <x v="240"/>
    <x v="2"/>
    <x v="2"/>
    <s v="Table"/>
    <x v="390"/>
    <n v="1865.18"/>
    <n v="2"/>
    <n v="0.1"/>
    <n v="1.22"/>
    <x v="0"/>
  </r>
  <r>
    <s v="ORD-1399"/>
    <x v="133"/>
    <x v="1"/>
    <x v="2"/>
    <s v="Chair"/>
    <x v="391"/>
    <n v="1501.53"/>
    <n v="2"/>
    <n v="0"/>
    <n v="131.44999999999999"/>
    <x v="0"/>
  </r>
  <r>
    <s v="ORD-1400"/>
    <x v="115"/>
    <x v="2"/>
    <x v="2"/>
    <s v="Bookcase"/>
    <x v="392"/>
    <n v="212.03"/>
    <n v="1"/>
    <n v="0.15"/>
    <n v="26.58"/>
    <x v="0"/>
  </r>
  <r>
    <s v="ORD-1401"/>
    <x v="241"/>
    <x v="3"/>
    <x v="1"/>
    <s v="Laptop"/>
    <x v="393"/>
    <n v="1193.55"/>
    <n v="5"/>
    <n v="0.1"/>
    <n v="-9.7100000000000009"/>
    <x v="2"/>
  </r>
  <r>
    <s v="ORD-1402"/>
    <x v="242"/>
    <x v="2"/>
    <x v="0"/>
    <s v="Stapler"/>
    <x v="394"/>
    <n v="1940.92"/>
    <n v="8"/>
    <n v="0.1"/>
    <n v="320.86"/>
    <x v="1"/>
  </r>
  <r>
    <s v="ORD-1403"/>
    <x v="243"/>
    <x v="3"/>
    <x v="0"/>
    <s v="Pen"/>
    <x v="395"/>
    <n v="462.73"/>
    <n v="4"/>
    <n v="0"/>
    <n v="106.05"/>
    <x v="1"/>
  </r>
  <r>
    <s v="ORD-1404"/>
    <x v="86"/>
    <x v="0"/>
    <x v="2"/>
    <s v="Table"/>
    <x v="396"/>
    <n v="690.76"/>
    <n v="8"/>
    <n v="0.15"/>
    <n v="13.74"/>
    <x v="0"/>
  </r>
  <r>
    <s v="ORD-1405"/>
    <x v="153"/>
    <x v="2"/>
    <x v="1"/>
    <s v="Printer"/>
    <x v="397"/>
    <n v="1598.36"/>
    <n v="8"/>
    <n v="0"/>
    <n v="90.54"/>
    <x v="0"/>
  </r>
  <r>
    <s v="ORD-1406"/>
    <x v="9"/>
    <x v="1"/>
    <x v="0"/>
    <s v="Binder"/>
    <x v="398"/>
    <n v="415.9"/>
    <n v="6"/>
    <n v="0"/>
    <n v="116.67"/>
    <x v="2"/>
  </r>
  <r>
    <s v="ORD-1407"/>
    <x v="193"/>
    <x v="2"/>
    <x v="2"/>
    <s v="Bookcase"/>
    <x v="399"/>
    <n v="1770.44"/>
    <n v="1"/>
    <n v="0.15"/>
    <n v="-25.08"/>
    <x v="2"/>
  </r>
  <r>
    <s v="ORD-1408"/>
    <x v="159"/>
    <x v="0"/>
    <x v="0"/>
    <s v="Paper"/>
    <x v="400"/>
    <n v="121.49"/>
    <n v="9"/>
    <n v="0"/>
    <n v="30.23"/>
    <x v="1"/>
  </r>
  <r>
    <s v="ORD-1409"/>
    <x v="244"/>
    <x v="2"/>
    <x v="1"/>
    <s v="Phone"/>
    <x v="401"/>
    <n v="1095.22"/>
    <n v="4"/>
    <n v="0.2"/>
    <n v="32.54"/>
    <x v="1"/>
  </r>
  <r>
    <s v="ORD-1410"/>
    <x v="245"/>
    <x v="3"/>
    <x v="2"/>
    <s v="Sofa"/>
    <x v="402"/>
    <n v="110.28"/>
    <n v="9"/>
    <n v="0.05"/>
    <n v="9.93"/>
    <x v="0"/>
  </r>
  <r>
    <s v="ORD-1411"/>
    <x v="246"/>
    <x v="1"/>
    <x v="0"/>
    <s v="Pen"/>
    <x v="403"/>
    <n v="593.21"/>
    <n v="4"/>
    <n v="0.1"/>
    <n v="36.43"/>
    <x v="0"/>
  </r>
  <r>
    <s v="ORD-1412"/>
    <x v="197"/>
    <x v="1"/>
    <x v="0"/>
    <s v="Pen"/>
    <x v="404"/>
    <n v="1520.62"/>
    <n v="8"/>
    <n v="0.2"/>
    <n v="-153.78"/>
    <x v="0"/>
  </r>
  <r>
    <s v="ORD-1413"/>
    <x v="247"/>
    <x v="1"/>
    <x v="2"/>
    <s v="Bookcase"/>
    <x v="405"/>
    <n v="349.43"/>
    <n v="2"/>
    <n v="0.2"/>
    <n v="1.22"/>
    <x v="0"/>
  </r>
  <r>
    <s v="ORD-1414"/>
    <x v="6"/>
    <x v="2"/>
    <x v="2"/>
    <s v="Chair"/>
    <x v="406"/>
    <n v="924.98"/>
    <n v="6"/>
    <n v="0.2"/>
    <n v="-99.4"/>
    <x v="0"/>
  </r>
  <r>
    <s v="ORD-1415"/>
    <x v="218"/>
    <x v="0"/>
    <x v="0"/>
    <s v="Pen"/>
    <x v="407"/>
    <n v="1509.87"/>
    <n v="4"/>
    <n v="0"/>
    <n v="388.49"/>
    <x v="2"/>
  </r>
  <r>
    <s v="ORD-1416"/>
    <x v="248"/>
    <x v="0"/>
    <x v="2"/>
    <s v="Bookcase"/>
    <x v="408"/>
    <n v="1592.97"/>
    <n v="2"/>
    <n v="0.1"/>
    <n v="49.65"/>
    <x v="2"/>
  </r>
  <r>
    <s v="ORD-1417"/>
    <x v="240"/>
    <x v="2"/>
    <x v="2"/>
    <s v="Table"/>
    <x v="409"/>
    <n v="746.6"/>
    <n v="1"/>
    <n v="0.1"/>
    <n v="142.62"/>
    <x v="1"/>
  </r>
  <r>
    <s v="ORD-1418"/>
    <x v="249"/>
    <x v="0"/>
    <x v="0"/>
    <s v="Paper"/>
    <x v="410"/>
    <n v="685.92"/>
    <n v="5"/>
    <n v="0.05"/>
    <n v="92.46"/>
    <x v="2"/>
  </r>
  <r>
    <s v="ORD-1419"/>
    <x v="250"/>
    <x v="2"/>
    <x v="0"/>
    <s v="Binder"/>
    <x v="411"/>
    <n v="1207.02"/>
    <n v="4"/>
    <n v="0.05"/>
    <n v="79.88"/>
    <x v="2"/>
  </r>
  <r>
    <s v="ORD-1420"/>
    <x v="38"/>
    <x v="2"/>
    <x v="1"/>
    <s v="Phone"/>
    <x v="412"/>
    <n v="891.22"/>
    <n v="1"/>
    <n v="0.05"/>
    <n v="208.6"/>
    <x v="2"/>
  </r>
  <r>
    <s v="ORD-1421"/>
    <x v="251"/>
    <x v="0"/>
    <x v="0"/>
    <s v="Pen"/>
    <x v="151"/>
    <n v="542.01"/>
    <n v="5"/>
    <n v="0.1"/>
    <n v="1.48"/>
    <x v="1"/>
  </r>
  <r>
    <s v="ORD-1422"/>
    <x v="252"/>
    <x v="3"/>
    <x v="2"/>
    <s v="Table"/>
    <x v="413"/>
    <n v="156.32"/>
    <n v="6"/>
    <n v="0"/>
    <n v="10.45"/>
    <x v="1"/>
  </r>
  <r>
    <s v="ORD-1423"/>
    <x v="64"/>
    <x v="1"/>
    <x v="0"/>
    <s v="Stapler"/>
    <x v="414"/>
    <n v="253.75"/>
    <n v="2"/>
    <n v="0.1"/>
    <n v="21.25"/>
    <x v="1"/>
  </r>
  <r>
    <s v="ORD-1424"/>
    <x v="253"/>
    <x v="0"/>
    <x v="1"/>
    <s v="Printer"/>
    <x v="415"/>
    <n v="1388.07"/>
    <n v="9"/>
    <n v="0"/>
    <n v="415.44"/>
    <x v="0"/>
  </r>
  <r>
    <s v="ORD-1425"/>
    <x v="161"/>
    <x v="1"/>
    <x v="1"/>
    <s v="Printer"/>
    <x v="416"/>
    <n v="1027.49"/>
    <n v="3"/>
    <n v="0"/>
    <n v="154.34"/>
    <x v="0"/>
  </r>
  <r>
    <s v="ORD-1426"/>
    <x v="55"/>
    <x v="2"/>
    <x v="2"/>
    <s v="Sofa"/>
    <x v="417"/>
    <n v="1866.7"/>
    <n v="4"/>
    <n v="0.1"/>
    <n v="-89.63"/>
    <x v="1"/>
  </r>
  <r>
    <s v="ORD-1427"/>
    <x v="254"/>
    <x v="2"/>
    <x v="2"/>
    <s v="Chair"/>
    <x v="418"/>
    <n v="470.39"/>
    <n v="5"/>
    <n v="0"/>
    <n v="97.47"/>
    <x v="2"/>
  </r>
  <r>
    <s v="ORD-1428"/>
    <x v="210"/>
    <x v="1"/>
    <x v="1"/>
    <s v="Printer"/>
    <x v="419"/>
    <n v="1077.19"/>
    <n v="6"/>
    <n v="0.15"/>
    <n v="39.81"/>
    <x v="1"/>
  </r>
  <r>
    <s v="ORD-1429"/>
    <x v="255"/>
    <x v="1"/>
    <x v="2"/>
    <s v="Sofa"/>
    <x v="420"/>
    <n v="517.33000000000004"/>
    <n v="2"/>
    <n v="0.15"/>
    <n v="24.25"/>
    <x v="1"/>
  </r>
  <r>
    <s v="ORD-1430"/>
    <x v="212"/>
    <x v="2"/>
    <x v="0"/>
    <s v="Paper"/>
    <x v="421"/>
    <n v="279.12"/>
    <n v="1"/>
    <n v="0"/>
    <n v="68.349999999999994"/>
    <x v="1"/>
  </r>
  <r>
    <s v="ORD-1431"/>
    <x v="246"/>
    <x v="1"/>
    <x v="0"/>
    <s v="Binder"/>
    <x v="422"/>
    <n v="1441.11"/>
    <n v="7"/>
    <n v="0.05"/>
    <n v="128.6"/>
    <x v="0"/>
  </r>
  <r>
    <s v="ORD-1432"/>
    <x v="256"/>
    <x v="2"/>
    <x v="0"/>
    <s v="Binder"/>
    <x v="423"/>
    <n v="1800.18"/>
    <n v="3"/>
    <n v="0.15"/>
    <n v="-18.77"/>
    <x v="2"/>
  </r>
  <r>
    <s v="ORD-1433"/>
    <x v="134"/>
    <x v="0"/>
    <x v="2"/>
    <s v="Chair"/>
    <x v="424"/>
    <n v="1751.26"/>
    <n v="7"/>
    <n v="0.2"/>
    <n v="-124.93"/>
    <x v="1"/>
  </r>
  <r>
    <s v="ORD-1434"/>
    <x v="67"/>
    <x v="3"/>
    <x v="0"/>
    <s v="Pen"/>
    <x v="395"/>
    <n v="1838.57"/>
    <n v="8"/>
    <n v="0.2"/>
    <n v="83.22"/>
    <x v="0"/>
  </r>
  <r>
    <s v="ORD-1435"/>
    <x v="151"/>
    <x v="0"/>
    <x v="2"/>
    <s v="Sofa"/>
    <x v="425"/>
    <n v="1348.63"/>
    <n v="5"/>
    <n v="0.15"/>
    <n v="43.13"/>
    <x v="0"/>
  </r>
  <r>
    <s v="ORD-1436"/>
    <x v="205"/>
    <x v="3"/>
    <x v="0"/>
    <s v="Binder"/>
    <x v="426"/>
    <n v="712.81"/>
    <n v="9"/>
    <n v="0"/>
    <n v="94.3"/>
    <x v="1"/>
  </r>
  <r>
    <s v="ORD-1437"/>
    <x v="221"/>
    <x v="0"/>
    <x v="0"/>
    <s v="Paper"/>
    <x v="427"/>
    <n v="336.56"/>
    <n v="4"/>
    <n v="0.15"/>
    <n v="-31.62"/>
    <x v="2"/>
  </r>
  <r>
    <s v="ORD-1438"/>
    <x v="213"/>
    <x v="2"/>
    <x v="1"/>
    <s v="Printer"/>
    <x v="428"/>
    <n v="754.73"/>
    <n v="9"/>
    <n v="0.2"/>
    <n v="-76.3"/>
    <x v="0"/>
  </r>
  <r>
    <s v="ORD-1439"/>
    <x v="257"/>
    <x v="2"/>
    <x v="0"/>
    <s v="Pen"/>
    <x v="429"/>
    <n v="196.52"/>
    <n v="8"/>
    <n v="0.05"/>
    <n v="12.37"/>
    <x v="1"/>
  </r>
  <r>
    <s v="ORD-1440"/>
    <x v="258"/>
    <x v="3"/>
    <x v="2"/>
    <s v="Bookcase"/>
    <x v="430"/>
    <n v="1261"/>
    <n v="8"/>
    <n v="0.15"/>
    <n v="49.06"/>
    <x v="2"/>
  </r>
  <r>
    <s v="ORD-1441"/>
    <x v="31"/>
    <x v="1"/>
    <x v="0"/>
    <s v="Stapler"/>
    <x v="431"/>
    <n v="552.91999999999996"/>
    <n v="2"/>
    <n v="0"/>
    <n v="49.57"/>
    <x v="2"/>
  </r>
  <r>
    <s v="ORD-1442"/>
    <x v="44"/>
    <x v="0"/>
    <x v="1"/>
    <s v="Monitor"/>
    <x v="432"/>
    <n v="204.63"/>
    <n v="3"/>
    <n v="0.1"/>
    <n v="-9.15"/>
    <x v="2"/>
  </r>
  <r>
    <s v="ORD-1443"/>
    <x v="101"/>
    <x v="2"/>
    <x v="2"/>
    <s v="Table"/>
    <x v="433"/>
    <n v="1973.94"/>
    <n v="9"/>
    <n v="0.1"/>
    <n v="321.89999999999998"/>
    <x v="0"/>
  </r>
  <r>
    <s v="ORD-1444"/>
    <x v="161"/>
    <x v="2"/>
    <x v="0"/>
    <s v="Paper"/>
    <x v="434"/>
    <n v="777.93"/>
    <n v="9"/>
    <n v="0"/>
    <n v="229.85"/>
    <x v="1"/>
  </r>
  <r>
    <s v="ORD-1445"/>
    <x v="19"/>
    <x v="1"/>
    <x v="2"/>
    <s v="Table"/>
    <x v="435"/>
    <n v="953.89"/>
    <n v="4"/>
    <n v="0.05"/>
    <n v="67.52"/>
    <x v="2"/>
  </r>
  <r>
    <s v="ORD-1446"/>
    <x v="78"/>
    <x v="0"/>
    <x v="1"/>
    <s v="Phone"/>
    <x v="436"/>
    <n v="863.13"/>
    <n v="5"/>
    <n v="0.1"/>
    <n v="136.11000000000001"/>
    <x v="0"/>
  </r>
  <r>
    <s v="ORD-1447"/>
    <x v="259"/>
    <x v="1"/>
    <x v="0"/>
    <s v="Pen"/>
    <x v="437"/>
    <n v="1350.42"/>
    <n v="10"/>
    <n v="0.15"/>
    <n v="-132.61000000000001"/>
    <x v="0"/>
  </r>
  <r>
    <s v="ORD-1448"/>
    <x v="62"/>
    <x v="0"/>
    <x v="1"/>
    <s v="Monitor"/>
    <x v="438"/>
    <n v="914.84"/>
    <n v="6"/>
    <n v="0.2"/>
    <n v="71.41"/>
    <x v="2"/>
  </r>
  <r>
    <s v="ORD-1449"/>
    <x v="260"/>
    <x v="1"/>
    <x v="1"/>
    <s v="Monitor"/>
    <x v="439"/>
    <n v="328.19"/>
    <n v="5"/>
    <n v="0.2"/>
    <n v="-8.01"/>
    <x v="2"/>
  </r>
  <r>
    <s v="ORD-1450"/>
    <x v="244"/>
    <x v="3"/>
    <x v="0"/>
    <s v="Stapler"/>
    <x v="440"/>
    <n v="1717.82"/>
    <n v="2"/>
    <n v="0.15"/>
    <n v="-33.06"/>
    <x v="1"/>
  </r>
  <r>
    <s v="ORD-1451"/>
    <x v="261"/>
    <x v="1"/>
    <x v="1"/>
    <s v="Printer"/>
    <x v="441"/>
    <n v="1293.1099999999999"/>
    <n v="5"/>
    <n v="0.1"/>
    <n v="145.05000000000001"/>
    <x v="0"/>
  </r>
  <r>
    <s v="ORD-1452"/>
    <x v="123"/>
    <x v="0"/>
    <x v="0"/>
    <s v="Paper"/>
    <x v="442"/>
    <n v="782.28"/>
    <n v="9"/>
    <n v="0"/>
    <n v="127.52"/>
    <x v="1"/>
  </r>
  <r>
    <s v="ORD-1453"/>
    <x v="62"/>
    <x v="0"/>
    <x v="1"/>
    <s v="Phone"/>
    <x v="443"/>
    <n v="108.96"/>
    <n v="7"/>
    <n v="0.15"/>
    <n v="-6"/>
    <x v="0"/>
  </r>
  <r>
    <s v="ORD-1454"/>
    <x v="260"/>
    <x v="0"/>
    <x v="1"/>
    <s v="Laptop"/>
    <x v="444"/>
    <n v="322.64999999999998"/>
    <n v="9"/>
    <n v="0.15"/>
    <n v="5.09"/>
    <x v="2"/>
  </r>
  <r>
    <s v="ORD-1455"/>
    <x v="104"/>
    <x v="0"/>
    <x v="1"/>
    <s v="Monitor"/>
    <x v="445"/>
    <n v="1755.31"/>
    <n v="9"/>
    <n v="0.2"/>
    <n v="-181.99"/>
    <x v="1"/>
  </r>
  <r>
    <s v="ORD-1456"/>
    <x v="74"/>
    <x v="2"/>
    <x v="2"/>
    <s v="Bookcase"/>
    <x v="246"/>
    <n v="1494.71"/>
    <n v="7"/>
    <n v="0.2"/>
    <n v="29.95"/>
    <x v="2"/>
  </r>
  <r>
    <s v="ORD-1457"/>
    <x v="161"/>
    <x v="2"/>
    <x v="0"/>
    <s v="Paper"/>
    <x v="446"/>
    <n v="1206.77"/>
    <n v="2"/>
    <n v="0.2"/>
    <n v="-161.26"/>
    <x v="0"/>
  </r>
  <r>
    <s v="ORD-1458"/>
    <x v="252"/>
    <x v="0"/>
    <x v="0"/>
    <s v="Stapler"/>
    <x v="447"/>
    <n v="310.82"/>
    <n v="3"/>
    <n v="0.05"/>
    <n v="22.54"/>
    <x v="0"/>
  </r>
  <r>
    <s v="ORD-1459"/>
    <x v="215"/>
    <x v="3"/>
    <x v="2"/>
    <s v="Bookcase"/>
    <x v="448"/>
    <n v="1808.77"/>
    <n v="10"/>
    <n v="0.05"/>
    <n v="226.68"/>
    <x v="2"/>
  </r>
  <r>
    <s v="ORD-1460"/>
    <x v="200"/>
    <x v="1"/>
    <x v="0"/>
    <s v="Pen"/>
    <x v="449"/>
    <n v="1179.01"/>
    <n v="6"/>
    <n v="0"/>
    <n v="288.18"/>
    <x v="0"/>
  </r>
  <r>
    <s v="ORD-1461"/>
    <x v="262"/>
    <x v="1"/>
    <x v="0"/>
    <s v="Stapler"/>
    <x v="450"/>
    <n v="525.74"/>
    <n v="6"/>
    <n v="0.2"/>
    <n v="-12.23"/>
    <x v="2"/>
  </r>
  <r>
    <s v="ORD-1462"/>
    <x v="160"/>
    <x v="3"/>
    <x v="2"/>
    <s v="Sofa"/>
    <x v="451"/>
    <n v="1878.55"/>
    <n v="9"/>
    <n v="0"/>
    <n v="509.65"/>
    <x v="2"/>
  </r>
  <r>
    <s v="ORD-1463"/>
    <x v="164"/>
    <x v="1"/>
    <x v="1"/>
    <s v="Laptop"/>
    <x v="452"/>
    <n v="1328.16"/>
    <n v="5"/>
    <n v="0"/>
    <n v="335.72"/>
    <x v="1"/>
  </r>
  <r>
    <s v="ORD-1464"/>
    <x v="263"/>
    <x v="0"/>
    <x v="0"/>
    <s v="Pen"/>
    <x v="453"/>
    <n v="429.89"/>
    <n v="3"/>
    <n v="0.2"/>
    <n v="-12.98"/>
    <x v="2"/>
  </r>
  <r>
    <s v="ORD-1465"/>
    <x v="239"/>
    <x v="2"/>
    <x v="0"/>
    <s v="Pen"/>
    <x v="454"/>
    <n v="1819.2"/>
    <n v="10"/>
    <n v="0.2"/>
    <n v="-185.52"/>
    <x v="2"/>
  </r>
  <r>
    <s v="ORD-1466"/>
    <x v="93"/>
    <x v="3"/>
    <x v="2"/>
    <s v="Bookcase"/>
    <x v="455"/>
    <n v="181.53"/>
    <n v="6"/>
    <n v="0.15"/>
    <n v="14.89"/>
    <x v="0"/>
  </r>
  <r>
    <s v="ORD-1467"/>
    <x v="146"/>
    <x v="1"/>
    <x v="2"/>
    <s v="Chair"/>
    <x v="456"/>
    <n v="386.19"/>
    <n v="4"/>
    <n v="0.2"/>
    <n v="34.08"/>
    <x v="1"/>
  </r>
  <r>
    <s v="ORD-1468"/>
    <x v="45"/>
    <x v="1"/>
    <x v="0"/>
    <s v="Pen"/>
    <x v="457"/>
    <n v="852.67"/>
    <n v="10"/>
    <n v="0.2"/>
    <n v="-121.08"/>
    <x v="1"/>
  </r>
  <r>
    <s v="ORD-1469"/>
    <x v="40"/>
    <x v="2"/>
    <x v="0"/>
    <s v="Binder"/>
    <x v="458"/>
    <n v="841.73"/>
    <n v="9"/>
    <n v="0.1"/>
    <n v="58.82"/>
    <x v="0"/>
  </r>
  <r>
    <s v="ORD-1470"/>
    <x v="136"/>
    <x v="3"/>
    <x v="0"/>
    <s v="Binder"/>
    <x v="459"/>
    <n v="1172.8800000000001"/>
    <n v="3"/>
    <n v="0.2"/>
    <n v="-106.24"/>
    <x v="2"/>
  </r>
  <r>
    <s v="ORD-1471"/>
    <x v="41"/>
    <x v="2"/>
    <x v="0"/>
    <s v="Binder"/>
    <x v="460"/>
    <n v="1199.68"/>
    <n v="3"/>
    <n v="0.05"/>
    <n v="1.85"/>
    <x v="0"/>
  </r>
  <r>
    <s v="ORD-1472"/>
    <x v="33"/>
    <x v="1"/>
    <x v="0"/>
    <s v="Binder"/>
    <x v="461"/>
    <n v="1383.93"/>
    <n v="1"/>
    <n v="0.1"/>
    <n v="197.65"/>
    <x v="2"/>
  </r>
  <r>
    <s v="ORD-1473"/>
    <x v="264"/>
    <x v="3"/>
    <x v="1"/>
    <s v="Printer"/>
    <x v="462"/>
    <n v="584.36"/>
    <n v="8"/>
    <n v="0.1"/>
    <n v="17.88"/>
    <x v="2"/>
  </r>
  <r>
    <s v="ORD-1474"/>
    <x v="81"/>
    <x v="0"/>
    <x v="2"/>
    <s v="Sofa"/>
    <x v="463"/>
    <n v="1238.06"/>
    <n v="1"/>
    <n v="0.15"/>
    <n v="-6.23"/>
    <x v="0"/>
  </r>
  <r>
    <s v="ORD-1475"/>
    <x v="58"/>
    <x v="3"/>
    <x v="2"/>
    <s v="Table"/>
    <x v="464"/>
    <n v="1922.9"/>
    <n v="2"/>
    <n v="0.2"/>
    <n v="-56.27"/>
    <x v="0"/>
  </r>
  <r>
    <s v="ORD-1476"/>
    <x v="253"/>
    <x v="3"/>
    <x v="0"/>
    <s v="Stapler"/>
    <x v="465"/>
    <n v="475.44"/>
    <n v="4"/>
    <n v="0"/>
    <n v="133.97"/>
    <x v="0"/>
  </r>
  <r>
    <s v="ORD-1477"/>
    <x v="111"/>
    <x v="2"/>
    <x v="0"/>
    <s v="Binder"/>
    <x v="314"/>
    <n v="1245.3499999999999"/>
    <n v="7"/>
    <n v="0.05"/>
    <n v="154.5"/>
    <x v="0"/>
  </r>
  <r>
    <s v="ORD-1478"/>
    <x v="73"/>
    <x v="2"/>
    <x v="0"/>
    <s v="Paper"/>
    <x v="466"/>
    <n v="402.96"/>
    <n v="10"/>
    <n v="0.1"/>
    <n v="21"/>
    <x v="1"/>
  </r>
  <r>
    <s v="ORD-1479"/>
    <x v="184"/>
    <x v="2"/>
    <x v="1"/>
    <s v="Phone"/>
    <x v="467"/>
    <n v="1006.15"/>
    <n v="7"/>
    <n v="0.2"/>
    <n v="-143.04"/>
    <x v="2"/>
  </r>
  <r>
    <s v="ORD-1480"/>
    <x v="265"/>
    <x v="1"/>
    <x v="0"/>
    <s v="Pen"/>
    <x v="468"/>
    <n v="1217.97"/>
    <n v="3"/>
    <n v="0.2"/>
    <n v="-120.05"/>
    <x v="0"/>
  </r>
  <r>
    <s v="ORD-1481"/>
    <x v="266"/>
    <x v="3"/>
    <x v="2"/>
    <s v="Sofa"/>
    <x v="469"/>
    <n v="495.96"/>
    <n v="8"/>
    <n v="0.2"/>
    <n v="34.409999999999997"/>
    <x v="1"/>
  </r>
  <r>
    <s v="ORD-1482"/>
    <x v="267"/>
    <x v="2"/>
    <x v="1"/>
    <s v="Printer"/>
    <x v="470"/>
    <n v="66.8"/>
    <n v="6"/>
    <n v="0.15"/>
    <n v="6.36"/>
    <x v="2"/>
  </r>
  <r>
    <s v="ORD-1483"/>
    <x v="206"/>
    <x v="0"/>
    <x v="1"/>
    <s v="Monitor"/>
    <x v="212"/>
    <n v="1196.71"/>
    <n v="7"/>
    <n v="0.05"/>
    <n v="203.41"/>
    <x v="2"/>
  </r>
  <r>
    <s v="ORD-1484"/>
    <x v="89"/>
    <x v="0"/>
    <x v="1"/>
    <s v="Laptop"/>
    <x v="471"/>
    <n v="1036.6099999999999"/>
    <n v="1"/>
    <n v="0.2"/>
    <n v="58.99"/>
    <x v="0"/>
  </r>
  <r>
    <s v="ORD-1485"/>
    <x v="150"/>
    <x v="0"/>
    <x v="2"/>
    <s v="Table"/>
    <x v="472"/>
    <n v="1086.3399999999999"/>
    <n v="5"/>
    <n v="0.1"/>
    <n v="150.29"/>
    <x v="0"/>
  </r>
  <r>
    <s v="ORD-1486"/>
    <x v="268"/>
    <x v="1"/>
    <x v="0"/>
    <s v="Paper"/>
    <x v="473"/>
    <n v="640.57000000000005"/>
    <n v="4"/>
    <n v="0.15"/>
    <n v="41.18"/>
    <x v="0"/>
  </r>
  <r>
    <s v="ORD-1487"/>
    <x v="251"/>
    <x v="1"/>
    <x v="2"/>
    <s v="Table"/>
    <x v="474"/>
    <n v="1996"/>
    <n v="10"/>
    <n v="0.1"/>
    <n v="42.11"/>
    <x v="0"/>
  </r>
  <r>
    <s v="ORD-1488"/>
    <x v="8"/>
    <x v="1"/>
    <x v="1"/>
    <s v="Monitor"/>
    <x v="475"/>
    <n v="529.95000000000005"/>
    <n v="7"/>
    <n v="0.15"/>
    <n v="48.62"/>
    <x v="1"/>
  </r>
  <r>
    <s v="ORD-1489"/>
    <x v="172"/>
    <x v="0"/>
    <x v="2"/>
    <s v="Sofa"/>
    <x v="469"/>
    <n v="536.98"/>
    <n v="6"/>
    <n v="0.15"/>
    <n v="7.31"/>
    <x v="0"/>
  </r>
  <r>
    <s v="ORD-1490"/>
    <x v="95"/>
    <x v="3"/>
    <x v="0"/>
    <s v="Binder"/>
    <x v="476"/>
    <n v="1225.07"/>
    <n v="4"/>
    <n v="0"/>
    <n v="68.69"/>
    <x v="2"/>
  </r>
  <r>
    <s v="ORD-1491"/>
    <x v="1"/>
    <x v="2"/>
    <x v="0"/>
    <s v="Stapler"/>
    <x v="477"/>
    <n v="1531.2"/>
    <n v="5"/>
    <n v="0"/>
    <n v="276.22000000000003"/>
    <x v="0"/>
  </r>
  <r>
    <s v="ORD-1492"/>
    <x v="269"/>
    <x v="3"/>
    <x v="1"/>
    <s v="Phone"/>
    <x v="478"/>
    <n v="499.1"/>
    <n v="1"/>
    <n v="0"/>
    <n v="54.55"/>
    <x v="0"/>
  </r>
  <r>
    <s v="ORD-1493"/>
    <x v="9"/>
    <x v="1"/>
    <x v="1"/>
    <s v="Phone"/>
    <x v="479"/>
    <n v="361.92"/>
    <n v="3"/>
    <n v="0"/>
    <n v="85.65"/>
    <x v="2"/>
  </r>
  <r>
    <s v="ORD-1494"/>
    <x v="8"/>
    <x v="1"/>
    <x v="2"/>
    <s v="Table"/>
    <x v="480"/>
    <n v="398.19"/>
    <n v="1"/>
    <n v="0.05"/>
    <n v="92.83"/>
    <x v="1"/>
  </r>
  <r>
    <s v="ORD-1495"/>
    <x v="34"/>
    <x v="2"/>
    <x v="2"/>
    <s v="Chair"/>
    <x v="481"/>
    <n v="1223.58"/>
    <n v="1"/>
    <n v="0.05"/>
    <n v="86.93"/>
    <x v="2"/>
  </r>
  <r>
    <s v="ORD-1496"/>
    <x v="91"/>
    <x v="2"/>
    <x v="1"/>
    <s v="Printer"/>
    <x v="482"/>
    <n v="900.25"/>
    <n v="2"/>
    <n v="0.1"/>
    <n v="-7.43"/>
    <x v="2"/>
  </r>
  <r>
    <s v="ORD-1497"/>
    <x v="270"/>
    <x v="0"/>
    <x v="2"/>
    <s v="Chair"/>
    <x v="483"/>
    <n v="1152.19"/>
    <n v="5"/>
    <n v="0.15"/>
    <n v="65.78"/>
    <x v="2"/>
  </r>
  <r>
    <s v="ORD-1498"/>
    <x v="271"/>
    <x v="2"/>
    <x v="0"/>
    <s v="Stapler"/>
    <x v="484"/>
    <n v="329.15"/>
    <n v="5"/>
    <n v="0"/>
    <n v="85.15"/>
    <x v="2"/>
  </r>
  <r>
    <s v="ORD-1499"/>
    <x v="9"/>
    <x v="1"/>
    <x v="0"/>
    <s v="Paper"/>
    <x v="485"/>
    <n v="1306.75"/>
    <n v="8"/>
    <n v="0.1"/>
    <n v="47.52"/>
    <x v="2"/>
  </r>
  <r>
    <s v="ORD-1500"/>
    <x v="244"/>
    <x v="0"/>
    <x v="1"/>
    <s v="Laptop"/>
    <x v="486"/>
    <n v="1153.7"/>
    <n v="9"/>
    <n v="0.05"/>
    <n v="108.22"/>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1001"/>
    <s v="2023-06-17"/>
    <x v="0"/>
    <s v="East"/>
    <s v="Office Supplies"/>
    <s v="Stapler"/>
    <s v="Stapler Model-217"/>
    <n v="939.29"/>
    <n v="9"/>
    <n v="0.05"/>
    <n v="2.5"/>
    <s v="Home Office"/>
  </r>
  <r>
    <s v="ORD-1002"/>
    <s v="2023-04-05"/>
    <x v="1"/>
    <s v="West"/>
    <s v="Technology"/>
    <s v="Printer"/>
    <s v="Printer Model-628"/>
    <n v="120.25"/>
    <n v="6"/>
    <n v="0"/>
    <n v="31.33"/>
    <s v="Consumer"/>
  </r>
  <r>
    <s v="ORD-1003"/>
    <s v="2023-01-24"/>
    <x v="2"/>
    <s v="South"/>
    <s v="Technology"/>
    <s v="Printer"/>
    <s v="Printer Model-937"/>
    <n v="706.1"/>
    <n v="4"/>
    <n v="0.15"/>
    <n v="91.85"/>
    <s v="Home Office"/>
  </r>
  <r>
    <s v="ORD-1004"/>
    <s v="2023-09-14"/>
    <x v="3"/>
    <s v="West"/>
    <s v="Office Supplies"/>
    <s v="Binder"/>
    <s v="Binder Model-166"/>
    <n v="669.02"/>
    <n v="1"/>
    <n v="0.1"/>
    <n v="86.37"/>
    <s v="Home Office"/>
  </r>
  <r>
    <s v="ORD-1005"/>
    <s v="2023-02-09"/>
    <x v="4"/>
    <s v="South"/>
    <s v="Office Supplies"/>
    <s v="Stapler"/>
    <s v="Stapler Model-257"/>
    <n v="1920.14"/>
    <n v="6"/>
    <n v="0.15"/>
    <n v="252.83"/>
    <s v="Corporate"/>
  </r>
  <r>
    <s v="ORD-1006"/>
    <s v="2023-07-18"/>
    <x v="5"/>
    <s v="West"/>
    <s v="Technology"/>
    <s v="Phone"/>
    <s v="Phone Model-541"/>
    <n v="1058.54"/>
    <n v="3"/>
    <n v="0.05"/>
    <n v="252.93"/>
    <s v="Consumer"/>
  </r>
  <r>
    <s v="ORD-1007"/>
    <s v="2023-07-24"/>
    <x v="5"/>
    <s v="North"/>
    <s v="Furniture"/>
    <s v="Chair"/>
    <s v="Chair Model-531"/>
    <n v="1171.1199999999999"/>
    <n v="10"/>
    <n v="0.15"/>
    <n v="-107.33"/>
    <s v="Home Office"/>
  </r>
  <r>
    <s v="ORD-1008"/>
    <s v="2023-07-20"/>
    <x v="5"/>
    <s v="West"/>
    <s v="Office Supplies"/>
    <s v="Binder"/>
    <s v="Binder Model-336"/>
    <n v="1044.52"/>
    <n v="1"/>
    <n v="0.1"/>
    <n v="4.32"/>
    <s v="Home Office"/>
  </r>
  <r>
    <s v="ORD-1009"/>
    <s v="2023-05-05"/>
    <x v="6"/>
    <s v="West"/>
    <s v="Technology"/>
    <s v="Monitor"/>
    <s v="Monitor Model-188"/>
    <n v="644.08000000000004"/>
    <n v="3"/>
    <n v="0.15"/>
    <n v="-47.44"/>
    <s v="Consumer"/>
  </r>
  <r>
    <s v="ORD-1010"/>
    <s v="2023-08-03"/>
    <x v="7"/>
    <s v="West"/>
    <s v="Technology"/>
    <s v="Printer"/>
    <s v="Printer Model-117"/>
    <n v="854.51"/>
    <n v="7"/>
    <n v="0.1"/>
    <n v="114.35"/>
    <s v="Home Office"/>
  </r>
  <r>
    <s v="ORD-1011"/>
    <s v="2023-03-25"/>
    <x v="8"/>
    <s v="South"/>
    <s v="Technology"/>
    <s v="Laptop"/>
    <s v="Laptop Model-306"/>
    <n v="604.76"/>
    <n v="8"/>
    <n v="0.1"/>
    <n v="-14.51"/>
    <s v="Consumer"/>
  </r>
  <r>
    <s v="ORD-1012"/>
    <s v="2023-09-24"/>
    <x v="3"/>
    <s v="East"/>
    <s v="Technology"/>
    <s v="Phone"/>
    <s v="Phone Model-683"/>
    <n v="1783.63"/>
    <n v="4"/>
    <n v="0.2"/>
    <n v="95.72"/>
    <s v="Corporate"/>
  </r>
  <r>
    <s v="ORD-1013"/>
    <s v="2023-11-27"/>
    <x v="9"/>
    <s v="North"/>
    <s v="Furniture"/>
    <s v="Sofa"/>
    <s v="Sofa Model-896"/>
    <n v="887.31"/>
    <n v="3"/>
    <n v="0"/>
    <n v="204.65"/>
    <s v="Corporate"/>
  </r>
  <r>
    <s v="ORD-1014"/>
    <s v="2023-09-04"/>
    <x v="3"/>
    <s v="North"/>
    <s v="Furniture"/>
    <s v="Table"/>
    <s v="Table Model-293"/>
    <n v="1887.78"/>
    <n v="8"/>
    <n v="0.2"/>
    <n v="-42"/>
    <s v="Home Office"/>
  </r>
  <r>
    <s v="ORD-1015"/>
    <s v="2023-06-04"/>
    <x v="10"/>
    <s v="North"/>
    <s v="Furniture"/>
    <s v="Sofa"/>
    <s v="Sofa Model-890"/>
    <n v="1141.98"/>
    <n v="2"/>
    <n v="0.05"/>
    <n v="50.38"/>
    <s v="Corporate"/>
  </r>
  <r>
    <s v="ORD-1016"/>
    <s v="2023-09-27"/>
    <x v="3"/>
    <s v="South"/>
    <s v="Furniture"/>
    <s v="Table"/>
    <s v="Table Model-396"/>
    <n v="142.13"/>
    <n v="7"/>
    <n v="0.1"/>
    <n v="24.1"/>
    <s v="Consumer"/>
  </r>
  <r>
    <s v="ORD-1017"/>
    <s v="2023-03-02"/>
    <x v="8"/>
    <s v="West"/>
    <s v="Furniture"/>
    <s v="Bookcase"/>
    <s v="Bookcase Model-567"/>
    <n v="320.69"/>
    <n v="10"/>
    <n v="0.05"/>
    <n v="3.82"/>
    <s v="Corporate"/>
  </r>
  <r>
    <s v="ORD-1018"/>
    <s v="2023-07-28"/>
    <x v="5"/>
    <s v="West"/>
    <s v="Office Supplies"/>
    <s v="Paper"/>
    <s v="Paper Model-874"/>
    <n v="440.45"/>
    <n v="9"/>
    <n v="0.15"/>
    <n v="-15.99"/>
    <s v="Home Office"/>
  </r>
  <r>
    <s v="ORD-1019"/>
    <s v="2023-07-31"/>
    <x v="5"/>
    <s v="South"/>
    <s v="Furniture"/>
    <s v="Table"/>
    <s v="Table Model-923"/>
    <n v="545.57000000000005"/>
    <n v="9"/>
    <n v="0.1"/>
    <n v="64.61"/>
    <s v="Corporate"/>
  </r>
  <r>
    <s v="ORD-1020"/>
    <s v="2023-04-23"/>
    <x v="1"/>
    <s v="North"/>
    <s v="Furniture"/>
    <s v="Chair"/>
    <s v="Chair Model-407"/>
    <n v="1957.63"/>
    <n v="3"/>
    <n v="0.2"/>
    <n v="133.24"/>
    <s v="Home Office"/>
  </r>
  <r>
    <s v="ORD-1021"/>
    <s v="2023-10-23"/>
    <x v="11"/>
    <s v="East"/>
    <s v="Technology"/>
    <s v="Laptop"/>
    <s v="Laptop Model-863"/>
    <n v="110.63"/>
    <n v="1"/>
    <n v="0.2"/>
    <n v="-8.59"/>
    <s v="Corporate"/>
  </r>
  <r>
    <s v="ORD-1022"/>
    <s v="2023-06-20"/>
    <x v="10"/>
    <s v="South"/>
    <s v="Technology"/>
    <s v="Phone"/>
    <s v="Phone Model-925"/>
    <n v="1061.76"/>
    <n v="10"/>
    <n v="0.05"/>
    <n v="33.81"/>
    <s v="Consumer"/>
  </r>
  <r>
    <s v="ORD-1023"/>
    <s v="2023-08-10"/>
    <x v="7"/>
    <s v="East"/>
    <s v="Technology"/>
    <s v="Monitor"/>
    <s v="Monitor Model-275"/>
    <n v="1293.3399999999999"/>
    <n v="6"/>
    <n v="0.15"/>
    <n v="187.33"/>
    <s v="Home Office"/>
  </r>
  <r>
    <s v="ORD-1024"/>
    <s v="2023-10-28"/>
    <x v="11"/>
    <s v="North"/>
    <s v="Furniture"/>
    <s v="Chair"/>
    <s v="Chair Model-449"/>
    <n v="1215.31"/>
    <n v="6"/>
    <n v="0.15"/>
    <n v="113.79"/>
    <s v="Consumer"/>
  </r>
  <r>
    <s v="ORD-1025"/>
    <s v="2023-06-28"/>
    <x v="10"/>
    <s v="East"/>
    <s v="Office Supplies"/>
    <s v="Binder"/>
    <s v="Binder Model-671"/>
    <n v="531.03"/>
    <n v="1"/>
    <n v="0.05"/>
    <n v="70.010000000000005"/>
    <s v="Consumer"/>
  </r>
  <r>
    <s v="ORD-1026"/>
    <s v="2023-02-03"/>
    <x v="4"/>
    <s v="East"/>
    <s v="Technology"/>
    <s v="Phone"/>
    <s v="Phone Model-832"/>
    <n v="1990.61"/>
    <n v="5"/>
    <n v="0.15"/>
    <n v="-89.79"/>
    <s v="Consumer"/>
  </r>
  <r>
    <s v="ORD-1027"/>
    <s v="2023-02-22"/>
    <x v="4"/>
    <s v="West"/>
    <s v="Technology"/>
    <s v="Phone"/>
    <s v="Phone Model-302"/>
    <n v="1096.6500000000001"/>
    <n v="9"/>
    <n v="0.1"/>
    <n v="0.96"/>
    <s v="Consumer"/>
  </r>
  <r>
    <s v="ORD-1028"/>
    <s v="2023-12-27"/>
    <x v="12"/>
    <s v="North"/>
    <s v="Furniture"/>
    <s v="Sofa"/>
    <s v="Sofa Model-862"/>
    <n v="517.61"/>
    <n v="10"/>
    <n v="0.2"/>
    <n v="-72.709999999999994"/>
    <s v="Home Office"/>
  </r>
  <r>
    <s v="ORD-1029"/>
    <s v="2023-03-01"/>
    <x v="8"/>
    <s v="North"/>
    <s v="Technology"/>
    <s v="Printer"/>
    <s v="Printer Model-415"/>
    <n v="152.88"/>
    <n v="8"/>
    <n v="0.2"/>
    <n v="-19.48"/>
    <s v="Home Office"/>
  </r>
  <r>
    <s v="ORD-1030"/>
    <s v="2023-08-04"/>
    <x v="7"/>
    <s v="North"/>
    <s v="Office Supplies"/>
    <s v="Paper"/>
    <s v="Paper Model-341"/>
    <n v="1742.66"/>
    <n v="2"/>
    <n v="0"/>
    <n v="370.73"/>
    <s v="Home Office"/>
  </r>
  <r>
    <s v="ORD-1031"/>
    <s v="2023-01-14"/>
    <x v="2"/>
    <s v="West"/>
    <s v="Office Supplies"/>
    <s v="Pen"/>
    <s v="Pen Model-876"/>
    <n v="567.23"/>
    <n v="10"/>
    <n v="0.1"/>
    <n v="65.239999999999995"/>
    <s v="Home Office"/>
  </r>
  <r>
    <s v="ORD-1032"/>
    <s v="2023-06-07"/>
    <x v="10"/>
    <s v="West"/>
    <s v="Office Supplies"/>
    <s v="Stapler"/>
    <s v="Stapler Model-315"/>
    <n v="611.9"/>
    <n v="10"/>
    <n v="0.05"/>
    <n v="136.63999999999999"/>
    <s v="Corporate"/>
  </r>
  <r>
    <s v="ORD-1033"/>
    <s v="2023-04-13"/>
    <x v="1"/>
    <s v="South"/>
    <s v="Technology"/>
    <s v="Laptop"/>
    <s v="Laptop Model-762"/>
    <n v="1839.96"/>
    <n v="3"/>
    <n v="0.2"/>
    <n v="-123.42"/>
    <s v="Home Office"/>
  </r>
  <r>
    <s v="ORD-1034"/>
    <s v="2023-11-18"/>
    <x v="9"/>
    <s v="East"/>
    <s v="Furniture"/>
    <s v="Chair"/>
    <s v="Chair Model-681"/>
    <n v="1795.83"/>
    <n v="3"/>
    <n v="0.15"/>
    <n v="-174.78"/>
    <s v="Consumer"/>
  </r>
  <r>
    <s v="ORD-1035"/>
    <s v="2023-03-19"/>
    <x v="8"/>
    <s v="West"/>
    <s v="Office Supplies"/>
    <s v="Binder"/>
    <s v="Binder Model-649"/>
    <n v="1893.59"/>
    <n v="8"/>
    <n v="0.15"/>
    <n v="-160.47"/>
    <s v="Home Office"/>
  </r>
  <r>
    <s v="ORD-1036"/>
    <s v="2023-08-13"/>
    <x v="7"/>
    <s v="South"/>
    <s v="Office Supplies"/>
    <s v="Paper"/>
    <s v="Paper Model-801"/>
    <n v="847.33"/>
    <n v="3"/>
    <n v="0.1"/>
    <n v="-26.89"/>
    <s v="Consumer"/>
  </r>
  <r>
    <s v="ORD-1037"/>
    <s v="2023-06-23"/>
    <x v="10"/>
    <s v="South"/>
    <s v="Technology"/>
    <s v="Laptop"/>
    <s v="Laptop Model-960"/>
    <n v="1777.11"/>
    <n v="9"/>
    <n v="0.15"/>
    <n v="-1.36"/>
    <s v="Consumer"/>
  </r>
  <r>
    <s v="ORD-1038"/>
    <s v="2023-03-03"/>
    <x v="8"/>
    <s v="West"/>
    <s v="Furniture"/>
    <s v="Table"/>
    <s v="Table Model-132"/>
    <n v="1436.59"/>
    <n v="3"/>
    <n v="0"/>
    <n v="316.05"/>
    <s v="Consumer"/>
  </r>
  <r>
    <s v="ORD-1039"/>
    <s v="2023-07-22"/>
    <x v="5"/>
    <s v="South"/>
    <s v="Office Supplies"/>
    <s v="Stapler"/>
    <s v="Stapler Model-392"/>
    <n v="819.42"/>
    <n v="8"/>
    <n v="0.15"/>
    <n v="118.82"/>
    <s v="Corporate"/>
  </r>
  <r>
    <s v="ORD-1040"/>
    <s v="2023-12-21"/>
    <x v="12"/>
    <s v="North"/>
    <s v="Technology"/>
    <s v="Laptop"/>
    <s v="Laptop Model-214"/>
    <n v="1411.03"/>
    <n v="1"/>
    <n v="0.2"/>
    <n v="-200.38"/>
    <s v="Corporate"/>
  </r>
  <r>
    <s v="ORD-1041"/>
    <s v="2023-08-11"/>
    <x v="7"/>
    <s v="West"/>
    <s v="Technology"/>
    <s v="Printer"/>
    <s v="Printer Model-989"/>
    <n v="1212.1500000000001"/>
    <n v="5"/>
    <n v="0.1"/>
    <n v="43.72"/>
    <s v="Corporate"/>
  </r>
  <r>
    <s v="ORD-1042"/>
    <s v="2023-06-14"/>
    <x v="10"/>
    <s v="West"/>
    <s v="Technology"/>
    <s v="Laptop"/>
    <s v="Laptop Model-205"/>
    <n v="1395.22"/>
    <n v="3"/>
    <n v="0.05"/>
    <n v="344.47"/>
    <s v="Corporate"/>
  </r>
  <r>
    <s v="ORD-1043"/>
    <s v="2023-12-09"/>
    <x v="12"/>
    <s v="South"/>
    <s v="Furniture"/>
    <s v="Sofa"/>
    <s v="Sofa Model-556"/>
    <n v="1012.86"/>
    <n v="2"/>
    <n v="0.1"/>
    <n v="138.37"/>
    <s v="Consumer"/>
  </r>
  <r>
    <s v="ORD-1044"/>
    <s v="2023-07-31"/>
    <x v="5"/>
    <s v="West"/>
    <s v="Technology"/>
    <s v="Printer"/>
    <s v="Printer Model-621"/>
    <n v="1861.21"/>
    <n v="3"/>
    <n v="0.2"/>
    <n v="132.72999999999999"/>
    <s v="Corporate"/>
  </r>
  <r>
    <s v="ORD-1045"/>
    <s v="2023-03-06"/>
    <x v="8"/>
    <s v="North"/>
    <s v="Furniture"/>
    <s v="Chair"/>
    <s v="Chair Model-549"/>
    <n v="1221.42"/>
    <n v="8"/>
    <n v="0.15"/>
    <n v="-51.22"/>
    <s v="Corporate"/>
  </r>
  <r>
    <s v="ORD-1046"/>
    <s v="2023-07-11"/>
    <x v="5"/>
    <s v="South"/>
    <s v="Office Supplies"/>
    <s v="Pen"/>
    <s v="Pen Model-599"/>
    <n v="774.07"/>
    <n v="3"/>
    <n v="0.15"/>
    <n v="2.19"/>
    <s v="Consumer"/>
  </r>
  <r>
    <s v="ORD-1047"/>
    <s v="2023-10-22"/>
    <x v="11"/>
    <s v="South"/>
    <s v="Furniture"/>
    <s v="Chair"/>
    <s v="Chair Model-542"/>
    <n v="1490.62"/>
    <n v="9"/>
    <n v="0.2"/>
    <n v="-101.89"/>
    <s v="Consumer"/>
  </r>
  <r>
    <s v="ORD-1048"/>
    <s v="2023-11-25"/>
    <x v="9"/>
    <s v="North"/>
    <s v="Office Supplies"/>
    <s v="Stapler"/>
    <s v="Stapler Model-979"/>
    <n v="188.89"/>
    <n v="5"/>
    <n v="0.05"/>
    <n v="3.51"/>
    <s v="Consumer"/>
  </r>
  <r>
    <s v="ORD-1049"/>
    <s v="2023-04-01"/>
    <x v="1"/>
    <s v="East"/>
    <s v="Furniture"/>
    <s v="Table"/>
    <s v="Table Model-178"/>
    <n v="1577.39"/>
    <n v="8"/>
    <n v="0"/>
    <n v="330.46"/>
    <s v="Consumer"/>
  </r>
  <r>
    <s v="ORD-1050"/>
    <s v="2023-05-12"/>
    <x v="6"/>
    <s v="East"/>
    <s v="Technology"/>
    <s v="Monitor"/>
    <s v="Monitor Model-444"/>
    <n v="1303.2"/>
    <n v="2"/>
    <n v="0"/>
    <n v="350.3"/>
    <s v="Corporate"/>
  </r>
  <r>
    <s v="ORD-1051"/>
    <s v="2023-06-22"/>
    <x v="10"/>
    <s v="South"/>
    <s v="Office Supplies"/>
    <s v="Paper"/>
    <s v="Paper Model-673"/>
    <n v="1206.1600000000001"/>
    <n v="4"/>
    <n v="0.15"/>
    <n v="-3.77"/>
    <s v="Corporate"/>
  </r>
  <r>
    <s v="ORD-1052"/>
    <s v="2023-07-24"/>
    <x v="5"/>
    <s v="East"/>
    <s v="Office Supplies"/>
    <s v="Pen"/>
    <s v="Pen Model-624"/>
    <n v="1204.53"/>
    <n v="3"/>
    <n v="0.1"/>
    <n v="-8.4700000000000006"/>
    <s v="Consumer"/>
  </r>
  <r>
    <s v="ORD-1053"/>
    <s v="2023-10-19"/>
    <x v="11"/>
    <s v="North"/>
    <s v="Office Supplies"/>
    <s v="Binder"/>
    <s v="Binder Model-791"/>
    <n v="1995.65"/>
    <n v="3"/>
    <n v="0.2"/>
    <n v="82.63"/>
    <s v="Home Office"/>
  </r>
  <r>
    <s v="ORD-1054"/>
    <s v="2023-01-14"/>
    <x v="2"/>
    <s v="East"/>
    <s v="Office Supplies"/>
    <s v="Pen"/>
    <s v="Pen Model-485"/>
    <n v="388.53"/>
    <n v="7"/>
    <n v="0"/>
    <n v="26.23"/>
    <s v="Corporate"/>
  </r>
  <r>
    <s v="ORD-1055"/>
    <s v="2023-05-18"/>
    <x v="6"/>
    <s v="North"/>
    <s v="Technology"/>
    <s v="Laptop"/>
    <s v="Laptop Model-278"/>
    <n v="63"/>
    <n v="3"/>
    <n v="0.2"/>
    <n v="-7.05"/>
    <s v="Home Office"/>
  </r>
  <r>
    <s v="ORD-1056"/>
    <s v="2023-12-12"/>
    <x v="12"/>
    <s v="West"/>
    <s v="Technology"/>
    <s v="Monitor"/>
    <s v="Monitor Model-302"/>
    <n v="962.45"/>
    <n v="8"/>
    <n v="0"/>
    <n v="279.27999999999997"/>
    <s v="Corporate"/>
  </r>
  <r>
    <s v="ORD-1057"/>
    <s v="2023-08-05"/>
    <x v="7"/>
    <s v="South"/>
    <s v="Office Supplies"/>
    <s v="Paper"/>
    <s v="Paper Model-608"/>
    <n v="371.3"/>
    <n v="8"/>
    <n v="0"/>
    <n v="46.93"/>
    <s v="Corporate"/>
  </r>
  <r>
    <s v="ORD-1058"/>
    <s v="2023-11-17"/>
    <x v="9"/>
    <s v="South"/>
    <s v="Office Supplies"/>
    <s v="Pen"/>
    <s v="Pen Model-630"/>
    <n v="1529.21"/>
    <n v="4"/>
    <n v="0.2"/>
    <n v="-201.17"/>
    <s v="Consumer"/>
  </r>
  <r>
    <s v="ORD-1059"/>
    <s v="2023-09-17"/>
    <x v="3"/>
    <s v="North"/>
    <s v="Technology"/>
    <s v="Laptop"/>
    <s v="Laptop Model-768"/>
    <n v="723.81"/>
    <n v="4"/>
    <n v="0"/>
    <n v="140.35"/>
    <s v="Corporate"/>
  </r>
  <r>
    <s v="ORD-1060"/>
    <s v="2023-08-31"/>
    <x v="7"/>
    <s v="West"/>
    <s v="Furniture"/>
    <s v="Sofa"/>
    <s v="Sofa Model-936"/>
    <n v="1077.53"/>
    <n v="7"/>
    <n v="0.05"/>
    <n v="228.8"/>
    <s v="Corporate"/>
  </r>
  <r>
    <s v="ORD-1061"/>
    <s v="2023-03-08"/>
    <x v="8"/>
    <s v="West"/>
    <s v="Office Supplies"/>
    <s v="Stapler"/>
    <s v="Stapler Model-465"/>
    <n v="1810.9"/>
    <n v="9"/>
    <n v="0.1"/>
    <n v="90.22"/>
    <s v="Consumer"/>
  </r>
  <r>
    <s v="ORD-1062"/>
    <s v="2023-06-25"/>
    <x v="10"/>
    <s v="West"/>
    <s v="Furniture"/>
    <s v="Sofa"/>
    <s v="Sofa Model-243"/>
    <n v="1685.28"/>
    <n v="5"/>
    <n v="0.15"/>
    <n v="35.86"/>
    <s v="Corporate"/>
  </r>
  <r>
    <s v="ORD-1063"/>
    <s v="2023-02-12"/>
    <x v="4"/>
    <s v="East"/>
    <s v="Furniture"/>
    <s v="Table"/>
    <s v="Table Model-149"/>
    <n v="1816.17"/>
    <n v="2"/>
    <n v="0.1"/>
    <n v="339.21"/>
    <s v="Home Office"/>
  </r>
  <r>
    <s v="ORD-1064"/>
    <s v="2023-10-12"/>
    <x v="11"/>
    <s v="East"/>
    <s v="Furniture"/>
    <s v="Table"/>
    <s v="Table Model-765"/>
    <n v="1753.49"/>
    <n v="1"/>
    <n v="0.15"/>
    <n v="-9.1"/>
    <s v="Consumer"/>
  </r>
  <r>
    <s v="ORD-1065"/>
    <s v="2023-12-18"/>
    <x v="12"/>
    <s v="East"/>
    <s v="Technology"/>
    <s v="Laptop"/>
    <s v="Laptop Model-124"/>
    <n v="727.24"/>
    <n v="9"/>
    <n v="0"/>
    <n v="123.08"/>
    <s v="Consumer"/>
  </r>
  <r>
    <s v="ORD-1066"/>
    <s v="2023-10-15"/>
    <x v="11"/>
    <s v="East"/>
    <s v="Technology"/>
    <s v="Laptop"/>
    <s v="Laptop Model-298"/>
    <n v="1623.98"/>
    <n v="10"/>
    <n v="0.1"/>
    <n v="63.09"/>
    <s v="Corporate"/>
  </r>
  <r>
    <s v="ORD-1067"/>
    <s v="2023-03-28"/>
    <x v="8"/>
    <s v="North"/>
    <s v="Office Supplies"/>
    <s v="Pen"/>
    <s v="Pen Model-845"/>
    <n v="1266.4000000000001"/>
    <n v="5"/>
    <n v="0.2"/>
    <n v="32.57"/>
    <s v="Home Office"/>
  </r>
  <r>
    <s v="ORD-1068"/>
    <s v="2023-10-13"/>
    <x v="11"/>
    <s v="North"/>
    <s v="Furniture"/>
    <s v="Bookcase"/>
    <s v="Bookcase Model-685"/>
    <n v="71.569999999999993"/>
    <n v="5"/>
    <n v="0.05"/>
    <n v="12.65"/>
    <s v="Home Office"/>
  </r>
  <r>
    <s v="ORD-1069"/>
    <s v="2023-09-22"/>
    <x v="3"/>
    <s v="West"/>
    <s v="Office Supplies"/>
    <s v="Stapler"/>
    <s v="Stapler Model-273"/>
    <n v="1857.93"/>
    <n v="3"/>
    <n v="0.05"/>
    <n v="328.66"/>
    <s v="Corporate"/>
  </r>
  <r>
    <s v="ORD-1070"/>
    <s v="2023-12-20"/>
    <x v="12"/>
    <s v="West"/>
    <s v="Furniture"/>
    <s v="Bookcase"/>
    <s v="Bookcase Model-237"/>
    <n v="162.04"/>
    <n v="10"/>
    <n v="0"/>
    <n v="31.64"/>
    <s v="Home Office"/>
  </r>
  <r>
    <s v="ORD-1071"/>
    <s v="2023-03-07"/>
    <x v="8"/>
    <s v="South"/>
    <s v="Furniture"/>
    <s v="Chair"/>
    <s v="Chair Model-180"/>
    <n v="1685.85"/>
    <n v="5"/>
    <n v="0.1"/>
    <n v="220.66"/>
    <s v="Home Office"/>
  </r>
  <r>
    <s v="ORD-1072"/>
    <s v="2023-08-30"/>
    <x v="7"/>
    <s v="North"/>
    <s v="Technology"/>
    <s v="Laptop"/>
    <s v="Laptop Model-759"/>
    <n v="333.13"/>
    <n v="2"/>
    <n v="0"/>
    <n v="37.75"/>
    <s v="Corporate"/>
  </r>
  <r>
    <s v="ORD-1073"/>
    <s v="2023-11-15"/>
    <x v="9"/>
    <s v="West"/>
    <s v="Furniture"/>
    <s v="Bookcase"/>
    <s v="Bookcase Model-162"/>
    <n v="1585.03"/>
    <n v="2"/>
    <n v="0.05"/>
    <n v="358.16"/>
    <s v="Corporate"/>
  </r>
  <r>
    <s v="ORD-1074"/>
    <s v="2023-05-29"/>
    <x v="6"/>
    <s v="South"/>
    <s v="Technology"/>
    <s v="Printer"/>
    <s v="Printer Model-699"/>
    <n v="1491.57"/>
    <n v="3"/>
    <n v="0.1"/>
    <n v="174.89"/>
    <s v="Consumer"/>
  </r>
  <r>
    <s v="ORD-1075"/>
    <s v="2023-09-30"/>
    <x v="3"/>
    <s v="South"/>
    <s v="Furniture"/>
    <s v="Table"/>
    <s v="Table Model-213"/>
    <n v="830.3"/>
    <n v="5"/>
    <n v="0.1"/>
    <n v="-38.93"/>
    <s v="Consumer"/>
  </r>
  <r>
    <s v="ORD-1076"/>
    <s v="2023-04-28"/>
    <x v="1"/>
    <s v="East"/>
    <s v="Furniture"/>
    <s v="Table"/>
    <s v="Table Model-147"/>
    <n v="683.45"/>
    <n v="5"/>
    <n v="0"/>
    <n v="150.41999999999999"/>
    <s v="Consumer"/>
  </r>
  <r>
    <s v="ORD-1077"/>
    <s v="2023-02-07"/>
    <x v="4"/>
    <s v="East"/>
    <s v="Office Supplies"/>
    <s v="Pen"/>
    <s v="Pen Model-937"/>
    <n v="1580.16"/>
    <n v="3"/>
    <n v="0.1"/>
    <n v="71.62"/>
    <s v="Consumer"/>
  </r>
  <r>
    <s v="ORD-1078"/>
    <s v="2023-03-03"/>
    <x v="8"/>
    <s v="West"/>
    <s v="Furniture"/>
    <s v="Chair"/>
    <s v="Chair Model-768"/>
    <n v="437.48"/>
    <n v="8"/>
    <n v="0.15"/>
    <n v="-15.09"/>
    <s v="Home Office"/>
  </r>
  <r>
    <s v="ORD-1079"/>
    <s v="2023-06-23"/>
    <x v="10"/>
    <s v="West"/>
    <s v="Technology"/>
    <s v="Phone"/>
    <s v="Phone Model-229"/>
    <n v="542.17999999999995"/>
    <n v="1"/>
    <n v="0.15"/>
    <n v="78.489999999999995"/>
    <s v="Consumer"/>
  </r>
  <r>
    <s v="ORD-1080"/>
    <s v="2023-04-26"/>
    <x v="1"/>
    <s v="South"/>
    <s v="Furniture"/>
    <s v="Chair"/>
    <s v="Chair Model-658"/>
    <n v="554.46"/>
    <n v="5"/>
    <n v="0.2"/>
    <n v="-81.36"/>
    <s v="Consumer"/>
  </r>
  <r>
    <s v="ORD-1081"/>
    <s v="2023-11-04"/>
    <x v="9"/>
    <s v="North"/>
    <s v="Furniture"/>
    <s v="Bookcase"/>
    <s v="Bookcase Model-237"/>
    <n v="1766.84"/>
    <n v="9"/>
    <n v="0.05"/>
    <n v="419.7"/>
    <s v="Consumer"/>
  </r>
  <r>
    <s v="ORD-1082"/>
    <s v="2023-12-25"/>
    <x v="12"/>
    <s v="North"/>
    <s v="Furniture"/>
    <s v="Table"/>
    <s v="Table Model-529"/>
    <n v="914.25"/>
    <n v="10"/>
    <n v="0"/>
    <n v="114.08"/>
    <s v="Consumer"/>
  </r>
  <r>
    <s v="ORD-1083"/>
    <s v="2023-08-08"/>
    <x v="7"/>
    <s v="South"/>
    <s v="Technology"/>
    <s v="Phone"/>
    <s v="Phone Model-591"/>
    <n v="1683.62"/>
    <n v="4"/>
    <n v="0.2"/>
    <n v="62.1"/>
    <s v="Home Office"/>
  </r>
  <r>
    <s v="ORD-1084"/>
    <s v="2023-01-24"/>
    <x v="2"/>
    <s v="North"/>
    <s v="Office Supplies"/>
    <s v="Paper"/>
    <s v="Paper Model-816"/>
    <n v="1763.79"/>
    <n v="1"/>
    <n v="0.1"/>
    <n v="-84.18"/>
    <s v="Home Office"/>
  </r>
  <r>
    <s v="ORD-1085"/>
    <s v="2023-01-09"/>
    <x v="2"/>
    <s v="West"/>
    <s v="Office Supplies"/>
    <s v="Paper"/>
    <s v="Paper Model-706"/>
    <n v="64.81"/>
    <n v="10"/>
    <n v="0.15"/>
    <n v="3.08"/>
    <s v="Corporate"/>
  </r>
  <r>
    <s v="ORD-1086"/>
    <s v="2023-01-14"/>
    <x v="2"/>
    <s v="North"/>
    <s v="Office Supplies"/>
    <s v="Pen"/>
    <s v="Pen Model-180"/>
    <n v="1991.69"/>
    <n v="3"/>
    <n v="0.15"/>
    <n v="197.67"/>
    <s v="Corporate"/>
  </r>
  <r>
    <s v="ORD-1087"/>
    <s v="2023-04-29"/>
    <x v="1"/>
    <s v="West"/>
    <s v="Office Supplies"/>
    <s v="Stapler"/>
    <s v="Stapler Model-277"/>
    <n v="1367.21"/>
    <n v="7"/>
    <n v="0"/>
    <n v="86.8"/>
    <s v="Consumer"/>
  </r>
  <r>
    <s v="ORD-1088"/>
    <s v="2023-12-07"/>
    <x v="12"/>
    <s v="West"/>
    <s v="Technology"/>
    <s v="Printer"/>
    <s v="Printer Model-618"/>
    <n v="1755.49"/>
    <n v="4"/>
    <n v="0.15"/>
    <n v="27.56"/>
    <s v="Corporate"/>
  </r>
  <r>
    <s v="ORD-1089"/>
    <s v="2023-07-13"/>
    <x v="5"/>
    <s v="East"/>
    <s v="Furniture"/>
    <s v="Sofa"/>
    <s v="Sofa Model-305"/>
    <n v="1442.35"/>
    <n v="9"/>
    <n v="0.15"/>
    <n v="-42.13"/>
    <s v="Home Office"/>
  </r>
  <r>
    <s v="ORD-1090"/>
    <s v="2023-07-30"/>
    <x v="5"/>
    <s v="West"/>
    <s v="Office Supplies"/>
    <s v="Pen"/>
    <s v="Pen Model-802"/>
    <n v="1423.75"/>
    <n v="10"/>
    <n v="0.2"/>
    <n v="94.45"/>
    <s v="Corporate"/>
  </r>
  <r>
    <s v="ORD-1091"/>
    <s v="2023-05-18"/>
    <x v="6"/>
    <s v="South"/>
    <s v="Technology"/>
    <s v="Phone"/>
    <s v="Phone Model-578"/>
    <n v="1335.69"/>
    <n v="5"/>
    <n v="0.15"/>
    <n v="-69.63"/>
    <s v="Corporate"/>
  </r>
  <r>
    <s v="ORD-1092"/>
    <s v="2023-12-30"/>
    <x v="12"/>
    <s v="North"/>
    <s v="Office Supplies"/>
    <s v="Pen"/>
    <s v="Pen Model-141"/>
    <n v="927.48"/>
    <n v="8"/>
    <n v="0"/>
    <n v="67.47"/>
    <s v="Home Office"/>
  </r>
  <r>
    <s v="ORD-1093"/>
    <s v="2023-04-26"/>
    <x v="1"/>
    <s v="North"/>
    <s v="Office Supplies"/>
    <s v="Paper"/>
    <s v="Paper Model-922"/>
    <n v="1540.88"/>
    <n v="2"/>
    <n v="0.15"/>
    <n v="-102.16"/>
    <s v="Consumer"/>
  </r>
  <r>
    <s v="ORD-1094"/>
    <s v="2023-04-04"/>
    <x v="1"/>
    <s v="South"/>
    <s v="Technology"/>
    <s v="Laptop"/>
    <s v="Laptop Model-141"/>
    <n v="146.85"/>
    <n v="8"/>
    <n v="0"/>
    <n v="42.22"/>
    <s v="Home Office"/>
  </r>
  <r>
    <s v="ORD-1095"/>
    <s v="2023-10-08"/>
    <x v="11"/>
    <s v="West"/>
    <s v="Office Supplies"/>
    <s v="Stapler"/>
    <s v="Stapler Model-773"/>
    <n v="1226.22"/>
    <n v="4"/>
    <n v="0"/>
    <n v="115.91"/>
    <s v="Corporate"/>
  </r>
  <r>
    <s v="ORD-1096"/>
    <s v="2023-09-27"/>
    <x v="3"/>
    <s v="West"/>
    <s v="Furniture"/>
    <s v="Sofa"/>
    <s v="Sofa Model-911"/>
    <n v="891.67"/>
    <n v="9"/>
    <n v="0.1"/>
    <n v="170.38"/>
    <s v="Consumer"/>
  </r>
  <r>
    <s v="ORD-1097"/>
    <s v="2023-05-04"/>
    <x v="6"/>
    <s v="West"/>
    <s v="Office Supplies"/>
    <s v="Pen"/>
    <s v="Pen Model-962"/>
    <n v="578.1"/>
    <n v="10"/>
    <n v="0.1"/>
    <n v="68.09"/>
    <s v="Home Office"/>
  </r>
  <r>
    <s v="ORD-1098"/>
    <s v="2023-02-21"/>
    <x v="4"/>
    <s v="West"/>
    <s v="Furniture"/>
    <s v="Table"/>
    <s v="Table Model-736"/>
    <n v="402.82"/>
    <n v="4"/>
    <n v="0"/>
    <n v="25.92"/>
    <s v="Consumer"/>
  </r>
  <r>
    <s v="ORD-1099"/>
    <s v="2023-01-25"/>
    <x v="2"/>
    <s v="North"/>
    <s v="Office Supplies"/>
    <s v="Stapler"/>
    <s v="Stapler Model-610"/>
    <n v="648.70000000000005"/>
    <n v="5"/>
    <n v="0.05"/>
    <n v="52.74"/>
    <s v="Consumer"/>
  </r>
  <r>
    <s v="ORD-1100"/>
    <s v="2023-03-08"/>
    <x v="8"/>
    <s v="North"/>
    <s v="Technology"/>
    <s v="Printer"/>
    <s v="Printer Model-858"/>
    <n v="445.59"/>
    <n v="6"/>
    <n v="0.1"/>
    <n v="49.21"/>
    <s v="Consumer"/>
  </r>
  <r>
    <s v="ORD-1101"/>
    <s v="2023-04-04"/>
    <x v="1"/>
    <s v="North"/>
    <s v="Technology"/>
    <s v="Phone"/>
    <s v="Phone Model-788"/>
    <n v="1931.57"/>
    <n v="5"/>
    <n v="0"/>
    <n v="223.63"/>
    <s v="Home Office"/>
  </r>
  <r>
    <s v="ORD-1102"/>
    <s v="2023-09-11"/>
    <x v="3"/>
    <s v="East"/>
    <s v="Office Supplies"/>
    <s v="Stapler"/>
    <s v="Stapler Model-949"/>
    <n v="553.01"/>
    <n v="2"/>
    <n v="0"/>
    <n v="83.14"/>
    <s v="Consumer"/>
  </r>
  <r>
    <s v="ORD-1103"/>
    <s v="2023-01-15"/>
    <x v="2"/>
    <s v="West"/>
    <s v="Furniture"/>
    <s v="Bookcase"/>
    <s v="Bookcase Model-356"/>
    <n v="1705.43"/>
    <n v="7"/>
    <n v="0.15"/>
    <n v="241"/>
    <s v="Consumer"/>
  </r>
  <r>
    <s v="ORD-1104"/>
    <s v="2023-02-28"/>
    <x v="4"/>
    <s v="East"/>
    <s v="Office Supplies"/>
    <s v="Binder"/>
    <s v="Binder Model-830"/>
    <n v="1231.0999999999999"/>
    <n v="8"/>
    <n v="0.1"/>
    <n v="-4.68"/>
    <s v="Corporate"/>
  </r>
  <r>
    <s v="ORD-1105"/>
    <s v="2023-01-25"/>
    <x v="2"/>
    <s v="West"/>
    <s v="Technology"/>
    <s v="Monitor"/>
    <s v="Monitor Model-228"/>
    <n v="1426.42"/>
    <n v="6"/>
    <n v="0.05"/>
    <n v="183.86"/>
    <s v="Corporate"/>
  </r>
  <r>
    <s v="ORD-1106"/>
    <s v="2023-04-02"/>
    <x v="1"/>
    <s v="North"/>
    <s v="Technology"/>
    <s v="Phone"/>
    <s v="Phone Model-919"/>
    <n v="1841.55"/>
    <n v="9"/>
    <n v="0"/>
    <n v="519.94000000000005"/>
    <s v="Consumer"/>
  </r>
  <r>
    <s v="ORD-1107"/>
    <s v="2023-06-13"/>
    <x v="10"/>
    <s v="West"/>
    <s v="Technology"/>
    <s v="Printer"/>
    <s v="Printer Model-558"/>
    <n v="1168.52"/>
    <n v="10"/>
    <n v="0"/>
    <n v="278.20999999999998"/>
    <s v="Home Office"/>
  </r>
  <r>
    <s v="ORD-1108"/>
    <s v="2023-02-13"/>
    <x v="4"/>
    <s v="East"/>
    <s v="Office Supplies"/>
    <s v="Binder"/>
    <s v="Binder Model-869"/>
    <n v="585.32000000000005"/>
    <n v="1"/>
    <n v="0"/>
    <n v="34.53"/>
    <s v="Consumer"/>
  </r>
  <r>
    <s v="ORD-1109"/>
    <s v="2023-10-18"/>
    <x v="11"/>
    <s v="East"/>
    <s v="Office Supplies"/>
    <s v="Stapler"/>
    <s v="Stapler Model-312"/>
    <n v="1942.59"/>
    <n v="5"/>
    <n v="0.2"/>
    <n v="-43.89"/>
    <s v="Home Office"/>
  </r>
  <r>
    <s v="ORD-1110"/>
    <s v="2023-03-08"/>
    <x v="8"/>
    <s v="West"/>
    <s v="Technology"/>
    <s v="Phone"/>
    <s v="Phone Model-315"/>
    <n v="489.5"/>
    <n v="8"/>
    <n v="0.05"/>
    <n v="65.459999999999994"/>
    <s v="Consumer"/>
  </r>
  <r>
    <s v="ORD-1111"/>
    <s v="2023-10-27"/>
    <x v="11"/>
    <s v="East"/>
    <s v="Office Supplies"/>
    <s v="Binder"/>
    <s v="Binder Model-464"/>
    <n v="1096.25"/>
    <n v="4"/>
    <n v="0.15"/>
    <n v="-47.16"/>
    <s v="Corporate"/>
  </r>
  <r>
    <s v="ORD-1112"/>
    <s v="2023-06-19"/>
    <x v="10"/>
    <s v="North"/>
    <s v="Furniture"/>
    <s v="Bookcase"/>
    <s v="Bookcase Model-852"/>
    <n v="789.85"/>
    <n v="8"/>
    <n v="0.1"/>
    <n v="138.87"/>
    <s v="Consumer"/>
  </r>
  <r>
    <s v="ORD-1113"/>
    <s v="2023-09-18"/>
    <x v="3"/>
    <s v="West"/>
    <s v="Furniture"/>
    <s v="Chair"/>
    <s v="Chair Model-795"/>
    <n v="1647.24"/>
    <n v="9"/>
    <n v="0.05"/>
    <n v="393.14"/>
    <s v="Home Office"/>
  </r>
  <r>
    <s v="ORD-1114"/>
    <s v="2023-06-28"/>
    <x v="10"/>
    <s v="East"/>
    <s v="Furniture"/>
    <s v="Bookcase"/>
    <s v="Bookcase Model-802"/>
    <n v="660.73"/>
    <n v="2"/>
    <n v="0.1"/>
    <n v="15.36"/>
    <s v="Consumer"/>
  </r>
  <r>
    <s v="ORD-1115"/>
    <s v="2023-05-31"/>
    <x v="6"/>
    <s v="West"/>
    <s v="Office Supplies"/>
    <s v="Paper"/>
    <s v="Paper Model-976"/>
    <n v="746.29"/>
    <n v="2"/>
    <n v="0.2"/>
    <n v="1.91"/>
    <s v="Home Office"/>
  </r>
  <r>
    <s v="ORD-1116"/>
    <s v="2023-07-21"/>
    <x v="5"/>
    <s v="North"/>
    <s v="Technology"/>
    <s v="Monitor"/>
    <s v="Monitor Model-233"/>
    <n v="744.74"/>
    <n v="3"/>
    <n v="0.2"/>
    <n v="33.159999999999997"/>
    <s v="Consumer"/>
  </r>
  <r>
    <s v="ORD-1117"/>
    <s v="2023-03-29"/>
    <x v="8"/>
    <s v="East"/>
    <s v="Office Supplies"/>
    <s v="Stapler"/>
    <s v="Stapler Model-921"/>
    <n v="698.66"/>
    <n v="4"/>
    <n v="0"/>
    <n v="184.2"/>
    <s v="Home Office"/>
  </r>
  <r>
    <s v="ORD-1118"/>
    <s v="2023-01-12"/>
    <x v="2"/>
    <s v="East"/>
    <s v="Office Supplies"/>
    <s v="Paper"/>
    <s v="Paper Model-356"/>
    <n v="660.28"/>
    <n v="1"/>
    <n v="0.15"/>
    <n v="-30.34"/>
    <s v="Consumer"/>
  </r>
  <r>
    <s v="ORD-1119"/>
    <s v="2023-06-22"/>
    <x v="10"/>
    <s v="West"/>
    <s v="Office Supplies"/>
    <s v="Binder"/>
    <s v="Binder Model-317"/>
    <n v="90.76"/>
    <n v="5"/>
    <n v="0.05"/>
    <n v="12.87"/>
    <s v="Corporate"/>
  </r>
  <r>
    <s v="ORD-1120"/>
    <s v="2023-01-30"/>
    <x v="2"/>
    <s v="East"/>
    <s v="Furniture"/>
    <s v="Chair"/>
    <s v="Chair Model-825"/>
    <n v="124.45"/>
    <n v="6"/>
    <n v="0"/>
    <n v="21.07"/>
    <s v="Corporate"/>
  </r>
  <r>
    <s v="ORD-1121"/>
    <s v="2023-10-05"/>
    <x v="11"/>
    <s v="West"/>
    <s v="Technology"/>
    <s v="Phone"/>
    <s v="Phone Model-416"/>
    <n v="1141.68"/>
    <n v="8"/>
    <n v="0"/>
    <n v="79.59"/>
    <s v="Consumer"/>
  </r>
  <r>
    <s v="ORD-1122"/>
    <s v="2023-01-12"/>
    <x v="2"/>
    <s v="South"/>
    <s v="Furniture"/>
    <s v="Sofa"/>
    <s v="Sofa Model-477"/>
    <n v="1598.76"/>
    <n v="10"/>
    <n v="0.05"/>
    <n v="200.69"/>
    <s v="Consumer"/>
  </r>
  <r>
    <s v="ORD-1123"/>
    <s v="2023-09-19"/>
    <x v="3"/>
    <s v="West"/>
    <s v="Furniture"/>
    <s v="Sofa"/>
    <s v="Sofa Model-988"/>
    <n v="80.27"/>
    <n v="7"/>
    <n v="0.05"/>
    <n v="14.72"/>
    <s v="Consumer"/>
  </r>
  <r>
    <s v="ORD-1124"/>
    <s v="2023-04-09"/>
    <x v="1"/>
    <s v="North"/>
    <s v="Technology"/>
    <s v="Phone"/>
    <s v="Phone Model-513"/>
    <n v="264.51"/>
    <n v="5"/>
    <n v="0.15"/>
    <n v="13.05"/>
    <s v="Home Office"/>
  </r>
  <r>
    <s v="ORD-1125"/>
    <s v="2023-12-07"/>
    <x v="12"/>
    <s v="South"/>
    <s v="Furniture"/>
    <s v="Sofa"/>
    <s v="Sofa Model-496"/>
    <n v="282.92"/>
    <n v="9"/>
    <n v="0.15"/>
    <n v="29.84"/>
    <s v="Consumer"/>
  </r>
  <r>
    <s v="ORD-1126"/>
    <s v="2023-12-31"/>
    <x v="12"/>
    <s v="South"/>
    <s v="Furniture"/>
    <s v="Sofa"/>
    <s v="Sofa Model-973"/>
    <n v="1543.21"/>
    <n v="1"/>
    <n v="0.2"/>
    <n v="-11.79"/>
    <s v="Consumer"/>
  </r>
  <r>
    <s v="ORD-1127"/>
    <s v="2023-02-12"/>
    <x v="4"/>
    <s v="East"/>
    <s v="Technology"/>
    <s v="Printer"/>
    <s v="Printer Model-287"/>
    <n v="1117.78"/>
    <n v="3"/>
    <n v="0.05"/>
    <n v="227.28"/>
    <s v="Corporate"/>
  </r>
  <r>
    <s v="ORD-1128"/>
    <s v="2023-07-17"/>
    <x v="5"/>
    <s v="South"/>
    <s v="Furniture"/>
    <s v="Bookcase"/>
    <s v="Bookcase Model-201"/>
    <n v="1704.61"/>
    <n v="2"/>
    <n v="0.15"/>
    <n v="1.19"/>
    <s v="Home Office"/>
  </r>
  <r>
    <s v="ORD-1129"/>
    <s v="2023-12-09"/>
    <x v="12"/>
    <s v="North"/>
    <s v="Office Supplies"/>
    <s v="Stapler"/>
    <s v="Stapler Model-986"/>
    <n v="63.92"/>
    <n v="6"/>
    <n v="0.1"/>
    <n v="0.73"/>
    <s v="Home Office"/>
  </r>
  <r>
    <s v="ORD-1130"/>
    <s v="2023-09-19"/>
    <x v="3"/>
    <s v="North"/>
    <s v="Office Supplies"/>
    <s v="Paper"/>
    <s v="Paper Model-958"/>
    <n v="1592.66"/>
    <n v="7"/>
    <n v="0.05"/>
    <n v="302.2"/>
    <s v="Corporate"/>
  </r>
  <r>
    <s v="ORD-1131"/>
    <s v="2023-02-06"/>
    <x v="4"/>
    <s v="North"/>
    <s v="Furniture"/>
    <s v="Table"/>
    <s v="Table Model-276"/>
    <n v="1946.61"/>
    <n v="10"/>
    <n v="0.15"/>
    <n v="65.09"/>
    <s v="Corporate"/>
  </r>
  <r>
    <s v="ORD-1132"/>
    <s v="2023-07-28"/>
    <x v="5"/>
    <s v="West"/>
    <s v="Technology"/>
    <s v="Laptop"/>
    <s v="Laptop Model-814"/>
    <n v="1626.31"/>
    <n v="2"/>
    <n v="0"/>
    <n v="163.02000000000001"/>
    <s v="Corporate"/>
  </r>
  <r>
    <s v="ORD-1133"/>
    <s v="2023-08-18"/>
    <x v="7"/>
    <s v="East"/>
    <s v="Office Supplies"/>
    <s v="Binder"/>
    <s v="Binder Model-177"/>
    <n v="134.72999999999999"/>
    <n v="2"/>
    <n v="0.2"/>
    <n v="-7.38"/>
    <s v="Consumer"/>
  </r>
  <r>
    <s v="ORD-1134"/>
    <s v="2023-03-17"/>
    <x v="8"/>
    <s v="North"/>
    <s v="Furniture"/>
    <s v="Bookcase"/>
    <s v="Bookcase Model-614"/>
    <n v="624.4"/>
    <n v="5"/>
    <n v="0"/>
    <n v="180"/>
    <s v="Consumer"/>
  </r>
  <r>
    <s v="ORD-1135"/>
    <s v="2023-09-06"/>
    <x v="3"/>
    <s v="North"/>
    <s v="Furniture"/>
    <s v="Bookcase"/>
    <s v="Bookcase Model-891"/>
    <n v="1413.84"/>
    <n v="6"/>
    <n v="0.15"/>
    <n v="-12.02"/>
    <s v="Corporate"/>
  </r>
  <r>
    <s v="ORD-1136"/>
    <s v="2023-09-22"/>
    <x v="3"/>
    <s v="West"/>
    <s v="Office Supplies"/>
    <s v="Pen"/>
    <s v="Pen Model-710"/>
    <n v="207.11"/>
    <n v="2"/>
    <n v="0.05"/>
    <n v="24.23"/>
    <s v="Consumer"/>
  </r>
  <r>
    <s v="ORD-1137"/>
    <s v="2023-11-12"/>
    <x v="9"/>
    <s v="East"/>
    <s v="Technology"/>
    <s v="Printer"/>
    <s v="Printer Model-940"/>
    <n v="1446.14"/>
    <n v="4"/>
    <n v="0.15"/>
    <n v="185.1"/>
    <s v="Home Office"/>
  </r>
  <r>
    <s v="ORD-1138"/>
    <s v="2023-10-01"/>
    <x v="11"/>
    <s v="North"/>
    <s v="Office Supplies"/>
    <s v="Paper"/>
    <s v="Paper Model-291"/>
    <n v="358.86"/>
    <n v="10"/>
    <n v="0.2"/>
    <n v="-30.98"/>
    <s v="Home Office"/>
  </r>
  <r>
    <s v="ORD-1139"/>
    <s v="2023-02-22"/>
    <x v="4"/>
    <s v="East"/>
    <s v="Furniture"/>
    <s v="Sofa"/>
    <s v="Sofa Model-531"/>
    <n v="106.16"/>
    <n v="7"/>
    <n v="0.15"/>
    <n v="-1.06"/>
    <s v="Home Office"/>
  </r>
  <r>
    <s v="ORD-1140"/>
    <s v="2023-03-28"/>
    <x v="8"/>
    <s v="North"/>
    <s v="Office Supplies"/>
    <s v="Stapler"/>
    <s v="Stapler Model-731"/>
    <n v="1603.55"/>
    <n v="6"/>
    <n v="0.2"/>
    <n v="-62.86"/>
    <s v="Consumer"/>
  </r>
  <r>
    <s v="ORD-1141"/>
    <s v="2023-08-17"/>
    <x v="7"/>
    <s v="South"/>
    <s v="Office Supplies"/>
    <s v="Binder"/>
    <s v="Binder Model-495"/>
    <n v="1056.67"/>
    <n v="1"/>
    <n v="0.1"/>
    <n v="171.48"/>
    <s v="Home Office"/>
  </r>
  <r>
    <s v="ORD-1142"/>
    <s v="2023-03-27"/>
    <x v="8"/>
    <s v="North"/>
    <s v="Furniture"/>
    <s v="Chair"/>
    <s v="Chair Model-955"/>
    <n v="1995.19"/>
    <n v="7"/>
    <n v="0.15"/>
    <n v="43.38"/>
    <s v="Consumer"/>
  </r>
  <r>
    <s v="ORD-1143"/>
    <s v="2023-06-05"/>
    <x v="10"/>
    <s v="South"/>
    <s v="Office Supplies"/>
    <s v="Pen"/>
    <s v="Pen Model-464"/>
    <n v="562.48"/>
    <n v="1"/>
    <n v="0.2"/>
    <n v="38.69"/>
    <s v="Home Office"/>
  </r>
  <r>
    <s v="ORD-1144"/>
    <s v="2023-09-19"/>
    <x v="3"/>
    <s v="North"/>
    <s v="Furniture"/>
    <s v="Table"/>
    <s v="Table Model-715"/>
    <n v="1588.83"/>
    <n v="3"/>
    <n v="0.1"/>
    <n v="27.12"/>
    <s v="Home Office"/>
  </r>
  <r>
    <s v="ORD-1145"/>
    <s v="2023-10-10"/>
    <x v="11"/>
    <s v="North"/>
    <s v="Furniture"/>
    <s v="Table"/>
    <s v="Table Model-336"/>
    <n v="500.01"/>
    <n v="1"/>
    <n v="0.1"/>
    <n v="99.23"/>
    <s v="Home Office"/>
  </r>
  <r>
    <s v="ORD-1146"/>
    <s v="2023-02-16"/>
    <x v="4"/>
    <s v="East"/>
    <s v="Technology"/>
    <s v="Laptop"/>
    <s v="Laptop Model-195"/>
    <n v="1537.47"/>
    <n v="4"/>
    <n v="0"/>
    <n v="169.63"/>
    <s v="Consumer"/>
  </r>
  <r>
    <s v="ORD-1147"/>
    <s v="2023-01-01"/>
    <x v="2"/>
    <s v="North"/>
    <s v="Technology"/>
    <s v="Laptop"/>
    <s v="Laptop Model-784"/>
    <n v="1413.65"/>
    <n v="3"/>
    <n v="0.2"/>
    <n v="87.34"/>
    <s v="Corporate"/>
  </r>
  <r>
    <s v="ORD-1148"/>
    <s v="2023-12-26"/>
    <x v="12"/>
    <s v="South"/>
    <s v="Furniture"/>
    <s v="Bookcase"/>
    <s v="Bookcase Model-556"/>
    <n v="86.34"/>
    <n v="8"/>
    <n v="0.2"/>
    <n v="1.86"/>
    <s v="Home Office"/>
  </r>
  <r>
    <s v="ORD-1149"/>
    <s v="2023-05-05"/>
    <x v="6"/>
    <s v="North"/>
    <s v="Furniture"/>
    <s v="Chair"/>
    <s v="Chair Model-947"/>
    <n v="1359.7"/>
    <n v="7"/>
    <n v="0.2"/>
    <n v="-36.76"/>
    <s v="Home Office"/>
  </r>
  <r>
    <s v="ORD-1150"/>
    <s v="2023-10-07"/>
    <x v="11"/>
    <s v="North"/>
    <s v="Office Supplies"/>
    <s v="Binder"/>
    <s v="Binder Model-790"/>
    <n v="1245.1600000000001"/>
    <n v="3"/>
    <n v="0.15"/>
    <n v="-9.07"/>
    <s v="Corporate"/>
  </r>
  <r>
    <s v="ORD-1151"/>
    <s v="2023-12-27"/>
    <x v="12"/>
    <s v="East"/>
    <s v="Furniture"/>
    <s v="Chair"/>
    <s v="Chair Model-129"/>
    <n v="559.08000000000004"/>
    <n v="5"/>
    <n v="0.1"/>
    <n v="10.09"/>
    <s v="Home Office"/>
  </r>
  <r>
    <s v="ORD-1152"/>
    <s v="2023-06-24"/>
    <x v="10"/>
    <s v="North"/>
    <s v="Furniture"/>
    <s v="Table"/>
    <s v="Table Model-745"/>
    <n v="669.94"/>
    <n v="2"/>
    <n v="0.1"/>
    <n v="-11.35"/>
    <s v="Consumer"/>
  </r>
  <r>
    <s v="ORD-1153"/>
    <s v="2023-01-26"/>
    <x v="2"/>
    <s v="North"/>
    <s v="Office Supplies"/>
    <s v="Pen"/>
    <s v="Pen Model-942"/>
    <n v="837.33"/>
    <n v="5"/>
    <n v="0"/>
    <n v="246.42"/>
    <s v="Corporate"/>
  </r>
  <r>
    <s v="ORD-1154"/>
    <s v="2023-07-16"/>
    <x v="5"/>
    <s v="South"/>
    <s v="Office Supplies"/>
    <s v="Pen"/>
    <s v="Pen Model-533"/>
    <n v="1223.92"/>
    <n v="2"/>
    <n v="0.05"/>
    <n v="258.14999999999998"/>
    <s v="Consumer"/>
  </r>
  <r>
    <s v="ORD-1155"/>
    <s v="2023-10-25"/>
    <x v="11"/>
    <s v="East"/>
    <s v="Furniture"/>
    <s v="Sofa"/>
    <s v="Sofa Model-648"/>
    <n v="1398.31"/>
    <n v="1"/>
    <n v="0.2"/>
    <n v="-157.83000000000001"/>
    <s v="Consumer"/>
  </r>
  <r>
    <s v="ORD-1156"/>
    <s v="2023-08-15"/>
    <x v="7"/>
    <s v="South"/>
    <s v="Furniture"/>
    <s v="Sofa"/>
    <s v="Sofa Model-858"/>
    <n v="1095.8"/>
    <n v="7"/>
    <n v="0.2"/>
    <n v="87.51"/>
    <s v="Home Office"/>
  </r>
  <r>
    <s v="ORD-1157"/>
    <s v="2023-03-28"/>
    <x v="8"/>
    <s v="East"/>
    <s v="Technology"/>
    <s v="Laptop"/>
    <s v="Laptop Model-626"/>
    <n v="1841.18"/>
    <n v="10"/>
    <n v="0.2"/>
    <n v="-39.03"/>
    <s v="Consumer"/>
  </r>
  <r>
    <s v="ORD-1158"/>
    <s v="2023-03-23"/>
    <x v="8"/>
    <s v="South"/>
    <s v="Technology"/>
    <s v="Phone"/>
    <s v="Phone Model-690"/>
    <n v="576.97"/>
    <n v="10"/>
    <n v="0.1"/>
    <n v="11.89"/>
    <s v="Consumer"/>
  </r>
  <r>
    <s v="ORD-1159"/>
    <s v="2023-06-23"/>
    <x v="10"/>
    <s v="East"/>
    <s v="Technology"/>
    <s v="Printer"/>
    <s v="Printer Model-230"/>
    <n v="602.12"/>
    <n v="5"/>
    <n v="0.15"/>
    <n v="86.96"/>
    <s v="Corporate"/>
  </r>
  <r>
    <s v="ORD-1160"/>
    <s v="2023-02-15"/>
    <x v="4"/>
    <s v="South"/>
    <s v="Office Supplies"/>
    <s v="Binder"/>
    <s v="Binder Model-856"/>
    <n v="925.2"/>
    <n v="1"/>
    <n v="0"/>
    <n v="159.84"/>
    <s v="Corporate"/>
  </r>
  <r>
    <s v="ORD-1161"/>
    <s v="2023-08-05"/>
    <x v="7"/>
    <s v="North"/>
    <s v="Furniture"/>
    <s v="Sofa"/>
    <s v="Sofa Model-235"/>
    <n v="1310.7"/>
    <n v="8"/>
    <n v="0.2"/>
    <n v="-50.89"/>
    <s v="Corporate"/>
  </r>
  <r>
    <s v="ORD-1162"/>
    <s v="2023-12-26"/>
    <x v="12"/>
    <s v="North"/>
    <s v="Furniture"/>
    <s v="Sofa"/>
    <s v="Sofa Model-121"/>
    <n v="93.74"/>
    <n v="5"/>
    <n v="0.1"/>
    <n v="-3.61"/>
    <s v="Consumer"/>
  </r>
  <r>
    <s v="ORD-1163"/>
    <s v="2023-04-18"/>
    <x v="1"/>
    <s v="West"/>
    <s v="Furniture"/>
    <s v="Bookcase"/>
    <s v="Bookcase Model-785"/>
    <n v="587.46"/>
    <n v="5"/>
    <n v="0.1"/>
    <n v="66.47"/>
    <s v="Corporate"/>
  </r>
  <r>
    <s v="ORD-1164"/>
    <s v="2023-06-26"/>
    <x v="10"/>
    <s v="South"/>
    <s v="Office Supplies"/>
    <s v="Pen"/>
    <s v="Pen Model-514"/>
    <n v="733.44"/>
    <n v="6"/>
    <n v="0.1"/>
    <n v="7.7"/>
    <s v="Home Office"/>
  </r>
  <r>
    <s v="ORD-1165"/>
    <s v="2023-08-15"/>
    <x v="7"/>
    <s v="South"/>
    <s v="Technology"/>
    <s v="Laptop"/>
    <s v="Laptop Model-321"/>
    <n v="689.41"/>
    <n v="3"/>
    <n v="0.1"/>
    <n v="35.81"/>
    <s v="Home Office"/>
  </r>
  <r>
    <s v="ORD-1166"/>
    <s v="2023-10-26"/>
    <x v="11"/>
    <s v="West"/>
    <s v="Furniture"/>
    <s v="Table"/>
    <s v="Table Model-388"/>
    <n v="356.11"/>
    <n v="8"/>
    <n v="0.2"/>
    <n v="-28.33"/>
    <s v="Corporate"/>
  </r>
  <r>
    <s v="ORD-1167"/>
    <s v="2023-01-22"/>
    <x v="2"/>
    <s v="East"/>
    <s v="Technology"/>
    <s v="Printer"/>
    <s v="Printer Model-839"/>
    <n v="1017.65"/>
    <n v="3"/>
    <n v="0.15"/>
    <n v="-25.78"/>
    <s v="Consumer"/>
  </r>
  <r>
    <s v="ORD-1168"/>
    <s v="2023-11-21"/>
    <x v="9"/>
    <s v="North"/>
    <s v="Office Supplies"/>
    <s v="Binder"/>
    <s v="Binder Model-469"/>
    <n v="407.87"/>
    <n v="5"/>
    <n v="0.2"/>
    <n v="12.9"/>
    <s v="Corporate"/>
  </r>
  <r>
    <s v="ORD-1169"/>
    <s v="2023-10-11"/>
    <x v="11"/>
    <s v="North"/>
    <s v="Technology"/>
    <s v="Phone"/>
    <s v="Phone Model-246"/>
    <n v="156.5"/>
    <n v="10"/>
    <n v="0.05"/>
    <n v="8.11"/>
    <s v="Consumer"/>
  </r>
  <r>
    <s v="ORD-1170"/>
    <s v="2023-09-18"/>
    <x v="3"/>
    <s v="East"/>
    <s v="Technology"/>
    <s v="Phone"/>
    <s v="Phone Model-753"/>
    <n v="800.7"/>
    <n v="3"/>
    <n v="0.05"/>
    <n v="23.74"/>
    <s v="Home Office"/>
  </r>
  <r>
    <s v="ORD-1171"/>
    <s v="2023-07-29"/>
    <x v="5"/>
    <s v="South"/>
    <s v="Furniture"/>
    <s v="Chair"/>
    <s v="Chair Model-654"/>
    <n v="778.01"/>
    <n v="3"/>
    <n v="0.2"/>
    <n v="-55.28"/>
    <s v="Consumer"/>
  </r>
  <r>
    <s v="ORD-1172"/>
    <s v="2023-12-01"/>
    <x v="12"/>
    <s v="South"/>
    <s v="Technology"/>
    <s v="Laptop"/>
    <s v="Laptop Model-608"/>
    <n v="476.17"/>
    <n v="5"/>
    <n v="0.15"/>
    <n v="61.58"/>
    <s v="Corporate"/>
  </r>
  <r>
    <s v="ORD-1173"/>
    <s v="2023-10-02"/>
    <x v="11"/>
    <s v="South"/>
    <s v="Furniture"/>
    <s v="Bookcase"/>
    <s v="Bookcase Model-721"/>
    <n v="215.93"/>
    <n v="6"/>
    <n v="0.05"/>
    <n v="40.29"/>
    <s v="Corporate"/>
  </r>
  <r>
    <s v="ORD-1174"/>
    <s v="2023-12-08"/>
    <x v="12"/>
    <s v="East"/>
    <s v="Office Supplies"/>
    <s v="Paper"/>
    <s v="Paper Model-273"/>
    <n v="1046.21"/>
    <n v="4"/>
    <n v="0.1"/>
    <n v="116.04"/>
    <s v="Consumer"/>
  </r>
  <r>
    <s v="ORD-1175"/>
    <s v="2023-05-01"/>
    <x v="6"/>
    <s v="West"/>
    <s v="Office Supplies"/>
    <s v="Pen"/>
    <s v="Pen Model-652"/>
    <n v="1969.98"/>
    <n v="8"/>
    <n v="0.1"/>
    <n v="-11.37"/>
    <s v="Home Office"/>
  </r>
  <r>
    <s v="ORD-1176"/>
    <s v="2023-10-04"/>
    <x v="11"/>
    <s v="West"/>
    <s v="Furniture"/>
    <s v="Bookcase"/>
    <s v="Bookcase Model-335"/>
    <n v="294.11"/>
    <n v="6"/>
    <n v="0.2"/>
    <n v="-30.58"/>
    <s v="Home Office"/>
  </r>
  <r>
    <s v="ORD-1177"/>
    <s v="2023-07-13"/>
    <x v="5"/>
    <s v="South"/>
    <s v="Office Supplies"/>
    <s v="Pen"/>
    <s v="Pen Model-587"/>
    <n v="1377.61"/>
    <n v="7"/>
    <n v="0"/>
    <n v="253.25"/>
    <s v="Home Office"/>
  </r>
  <r>
    <s v="ORD-1178"/>
    <s v="2023-10-16"/>
    <x v="11"/>
    <s v="South"/>
    <s v="Furniture"/>
    <s v="Table"/>
    <s v="Table Model-604"/>
    <n v="790.02"/>
    <n v="6"/>
    <n v="0.05"/>
    <n v="68.98"/>
    <s v="Home Office"/>
  </r>
  <r>
    <s v="ORD-1179"/>
    <s v="2023-04-13"/>
    <x v="1"/>
    <s v="North"/>
    <s v="Office Supplies"/>
    <s v="Stapler"/>
    <s v="Stapler Model-243"/>
    <n v="984.04"/>
    <n v="3"/>
    <n v="0.15"/>
    <n v="144.03"/>
    <s v="Consumer"/>
  </r>
  <r>
    <s v="ORD-1180"/>
    <s v="2023-03-05"/>
    <x v="8"/>
    <s v="West"/>
    <s v="Furniture"/>
    <s v="Chair"/>
    <s v="Chair Model-913"/>
    <n v="1548.45"/>
    <n v="10"/>
    <n v="0"/>
    <n v="212.95"/>
    <s v="Consumer"/>
  </r>
  <r>
    <s v="ORD-1181"/>
    <s v="2023-08-23"/>
    <x v="7"/>
    <s v="South"/>
    <s v="Technology"/>
    <s v="Printer"/>
    <s v="Printer Model-894"/>
    <n v="1538.77"/>
    <n v="3"/>
    <n v="0"/>
    <n v="161.37"/>
    <s v="Corporate"/>
  </r>
  <r>
    <s v="ORD-1182"/>
    <s v="2023-10-03"/>
    <x v="11"/>
    <s v="North"/>
    <s v="Furniture"/>
    <s v="Sofa"/>
    <s v="Sofa Model-486"/>
    <n v="1173.51"/>
    <n v="4"/>
    <n v="0.15"/>
    <n v="13.14"/>
    <s v="Home Office"/>
  </r>
  <r>
    <s v="ORD-1183"/>
    <s v="2023-09-23"/>
    <x v="3"/>
    <s v="West"/>
    <s v="Office Supplies"/>
    <s v="Stapler"/>
    <s v="Stapler Model-299"/>
    <n v="407.98"/>
    <n v="8"/>
    <n v="0"/>
    <n v="92.46"/>
    <s v="Home Office"/>
  </r>
  <r>
    <s v="ORD-1184"/>
    <s v="2023-10-12"/>
    <x v="11"/>
    <s v="West"/>
    <s v="Technology"/>
    <s v="Monitor"/>
    <s v="Monitor Model-569"/>
    <n v="853.64"/>
    <n v="8"/>
    <n v="0.15"/>
    <n v="-52.86"/>
    <s v="Corporate"/>
  </r>
  <r>
    <s v="ORD-1185"/>
    <s v="2023-01-20"/>
    <x v="2"/>
    <s v="West"/>
    <s v="Furniture"/>
    <s v="Bookcase"/>
    <s v="Bookcase Model-839"/>
    <n v="596.01"/>
    <n v="6"/>
    <n v="0"/>
    <n v="51.57"/>
    <s v="Corporate"/>
  </r>
  <r>
    <s v="ORD-1186"/>
    <s v="2023-02-01"/>
    <x v="4"/>
    <s v="East"/>
    <s v="Furniture"/>
    <s v="Bookcase"/>
    <s v="Bookcase Model-752"/>
    <n v="1776.37"/>
    <n v="8"/>
    <n v="0.15"/>
    <n v="-28.09"/>
    <s v="Corporate"/>
  </r>
  <r>
    <s v="ORD-1187"/>
    <s v="2023-10-20"/>
    <x v="11"/>
    <s v="South"/>
    <s v="Office Supplies"/>
    <s v="Binder"/>
    <s v="Binder Model-563"/>
    <n v="428.92"/>
    <n v="4"/>
    <n v="0.05"/>
    <n v="39.130000000000003"/>
    <s v="Home Office"/>
  </r>
  <r>
    <s v="ORD-1188"/>
    <s v="2023-10-12"/>
    <x v="11"/>
    <s v="North"/>
    <s v="Technology"/>
    <s v="Printer"/>
    <s v="Printer Model-559"/>
    <n v="1037.83"/>
    <n v="4"/>
    <n v="0.1"/>
    <n v="148.38999999999999"/>
    <s v="Home Office"/>
  </r>
  <r>
    <s v="ORD-1189"/>
    <s v="2023-11-01"/>
    <x v="9"/>
    <s v="South"/>
    <s v="Technology"/>
    <s v="Laptop"/>
    <s v="Laptop Model-120"/>
    <n v="1841.02"/>
    <n v="10"/>
    <n v="0"/>
    <n v="425.35"/>
    <s v="Corporate"/>
  </r>
  <r>
    <s v="ORD-1190"/>
    <s v="2023-06-02"/>
    <x v="10"/>
    <s v="East"/>
    <s v="Office Supplies"/>
    <s v="Binder"/>
    <s v="Binder Model-706"/>
    <n v="375.46"/>
    <n v="6"/>
    <n v="0"/>
    <n v="30.42"/>
    <s v="Corporate"/>
  </r>
  <r>
    <s v="ORD-1191"/>
    <s v="2023-12-18"/>
    <x v="12"/>
    <s v="West"/>
    <s v="Office Supplies"/>
    <s v="Binder"/>
    <s v="Binder Model-668"/>
    <n v="201.04"/>
    <n v="4"/>
    <n v="0.2"/>
    <n v="-20.99"/>
    <s v="Consumer"/>
  </r>
  <r>
    <s v="ORD-1192"/>
    <s v="2023-03-02"/>
    <x v="8"/>
    <s v="East"/>
    <s v="Furniture"/>
    <s v="Sofa"/>
    <s v="Sofa Model-573"/>
    <n v="1157.77"/>
    <n v="5"/>
    <n v="0.15"/>
    <n v="-93.03"/>
    <s v="Corporate"/>
  </r>
  <r>
    <s v="ORD-1193"/>
    <s v="2023-07-12"/>
    <x v="5"/>
    <s v="West"/>
    <s v="Office Supplies"/>
    <s v="Pen"/>
    <s v="Pen Model-539"/>
    <n v="646.19000000000005"/>
    <n v="1"/>
    <n v="0.15"/>
    <n v="-11.9"/>
    <s v="Corporate"/>
  </r>
  <r>
    <s v="ORD-1194"/>
    <s v="2023-06-08"/>
    <x v="10"/>
    <s v="East"/>
    <s v="Technology"/>
    <s v="Laptop"/>
    <s v="Laptop Model-708"/>
    <n v="1370.37"/>
    <n v="1"/>
    <n v="0"/>
    <n v="166.21"/>
    <s v="Corporate"/>
  </r>
  <r>
    <s v="ORD-1195"/>
    <s v="2023-10-29"/>
    <x v="11"/>
    <s v="South"/>
    <s v="Technology"/>
    <s v="Monitor"/>
    <s v="Monitor Model-949"/>
    <n v="920.7"/>
    <n v="8"/>
    <n v="0.15"/>
    <n v="87.5"/>
    <s v="Corporate"/>
  </r>
  <r>
    <s v="ORD-1196"/>
    <s v="2023-02-04"/>
    <x v="4"/>
    <s v="South"/>
    <s v="Technology"/>
    <s v="Phone"/>
    <s v="Phone Model-130"/>
    <n v="1733.25"/>
    <n v="5"/>
    <n v="0.15"/>
    <n v="-9.5299999999999994"/>
    <s v="Consumer"/>
  </r>
  <r>
    <s v="ORD-1197"/>
    <s v="2023-03-02"/>
    <x v="8"/>
    <s v="North"/>
    <s v="Technology"/>
    <s v="Phone"/>
    <s v="Phone Model-437"/>
    <n v="1460.76"/>
    <n v="1"/>
    <n v="0.1"/>
    <n v="49.47"/>
    <s v="Consumer"/>
  </r>
  <r>
    <s v="ORD-1198"/>
    <s v="2023-01-24"/>
    <x v="2"/>
    <s v="North"/>
    <s v="Technology"/>
    <s v="Laptop"/>
    <s v="Laptop Model-316"/>
    <n v="228.95"/>
    <n v="7"/>
    <n v="0.15"/>
    <n v="-19.43"/>
    <s v="Corporate"/>
  </r>
  <r>
    <s v="ORD-1199"/>
    <s v="2023-07-20"/>
    <x v="5"/>
    <s v="West"/>
    <s v="Office Supplies"/>
    <s v="Pen"/>
    <s v="Pen Model-801"/>
    <n v="1567.59"/>
    <n v="7"/>
    <n v="0.1"/>
    <n v="97.46"/>
    <s v="Home Office"/>
  </r>
  <r>
    <s v="ORD-1200"/>
    <s v="2023-11-26"/>
    <x v="9"/>
    <s v="North"/>
    <s v="Furniture"/>
    <s v="Table"/>
    <s v="Table Model-683"/>
    <n v="667.77"/>
    <n v="8"/>
    <n v="0.2"/>
    <n v="41.05"/>
    <s v="Consumer"/>
  </r>
  <r>
    <s v="ORD-1201"/>
    <s v="2023-08-03"/>
    <x v="7"/>
    <s v="South"/>
    <s v="Furniture"/>
    <s v="Chair"/>
    <s v="Chair Model-367"/>
    <n v="186.45"/>
    <n v="9"/>
    <n v="0.15"/>
    <n v="6.48"/>
    <s v="Corporate"/>
  </r>
  <r>
    <s v="ORD-1202"/>
    <s v="2023-06-10"/>
    <x v="10"/>
    <s v="East"/>
    <s v="Office Supplies"/>
    <s v="Paper"/>
    <s v="Paper Model-913"/>
    <n v="817.28"/>
    <n v="7"/>
    <n v="0.05"/>
    <n v="93.67"/>
    <s v="Corporate"/>
  </r>
  <r>
    <s v="ORD-1203"/>
    <s v="2023-12-16"/>
    <x v="12"/>
    <s v="South"/>
    <s v="Office Supplies"/>
    <s v="Pen"/>
    <s v="Pen Model-352"/>
    <n v="1911.02"/>
    <n v="10"/>
    <n v="0.1"/>
    <n v="7.77"/>
    <s v="Consumer"/>
  </r>
  <r>
    <s v="ORD-1204"/>
    <s v="2023-10-11"/>
    <x v="11"/>
    <s v="North"/>
    <s v="Furniture"/>
    <s v="Chair"/>
    <s v="Chair Model-310"/>
    <n v="642.91999999999996"/>
    <n v="6"/>
    <n v="0.2"/>
    <n v="14.4"/>
    <s v="Consumer"/>
  </r>
  <r>
    <s v="ORD-1205"/>
    <s v="2023-05-24"/>
    <x v="6"/>
    <s v="West"/>
    <s v="Furniture"/>
    <s v="Bookcase"/>
    <s v="Bookcase Model-622"/>
    <n v="1280.1300000000001"/>
    <n v="3"/>
    <n v="0.15"/>
    <n v="34.14"/>
    <s v="Corporate"/>
  </r>
  <r>
    <s v="ORD-1206"/>
    <s v="2023-12-04"/>
    <x v="12"/>
    <s v="South"/>
    <s v="Technology"/>
    <s v="Laptop"/>
    <s v="Laptop Model-287"/>
    <n v="495.66"/>
    <n v="4"/>
    <n v="0.1"/>
    <n v="50.79"/>
    <s v="Consumer"/>
  </r>
  <r>
    <s v="ORD-1207"/>
    <s v="2023-08-31"/>
    <x v="7"/>
    <s v="North"/>
    <s v="Technology"/>
    <s v="Phone"/>
    <s v="Phone Model-908"/>
    <n v="231.45"/>
    <n v="8"/>
    <n v="0.1"/>
    <n v="-8.41"/>
    <s v="Corporate"/>
  </r>
  <r>
    <s v="ORD-1208"/>
    <s v="2023-03-22"/>
    <x v="8"/>
    <s v="North"/>
    <s v="Office Supplies"/>
    <s v="Pen"/>
    <s v="Pen Model-754"/>
    <n v="191.3"/>
    <n v="3"/>
    <n v="0.15"/>
    <n v="23.35"/>
    <s v="Consumer"/>
  </r>
  <r>
    <s v="ORD-1209"/>
    <s v="2023-10-13"/>
    <x v="11"/>
    <s v="East"/>
    <s v="Furniture"/>
    <s v="Bookcase"/>
    <s v="Bookcase Model-649"/>
    <n v="894.73"/>
    <n v="9"/>
    <n v="0"/>
    <n v="155.83000000000001"/>
    <s v="Home Office"/>
  </r>
  <r>
    <s v="ORD-1210"/>
    <s v="2023-03-07"/>
    <x v="8"/>
    <s v="East"/>
    <s v="Office Supplies"/>
    <s v="Pen"/>
    <s v="Pen Model-657"/>
    <n v="992.71"/>
    <n v="1"/>
    <n v="0.1"/>
    <n v="74.61"/>
    <s v="Consumer"/>
  </r>
  <r>
    <s v="ORD-1211"/>
    <s v="2023-11-15"/>
    <x v="9"/>
    <s v="South"/>
    <s v="Technology"/>
    <s v="Phone"/>
    <s v="Phone Model-664"/>
    <n v="1642.19"/>
    <n v="9"/>
    <n v="0.1"/>
    <n v="-26.17"/>
    <s v="Corporate"/>
  </r>
  <r>
    <s v="ORD-1212"/>
    <s v="2023-10-23"/>
    <x v="11"/>
    <s v="North"/>
    <s v="Furniture"/>
    <s v="Table"/>
    <s v="Table Model-579"/>
    <n v="1168.58"/>
    <n v="5"/>
    <n v="0"/>
    <n v="203.03"/>
    <s v="Corporate"/>
  </r>
  <r>
    <s v="ORD-1213"/>
    <s v="2023-03-24"/>
    <x v="8"/>
    <s v="North"/>
    <s v="Office Supplies"/>
    <s v="Pen"/>
    <s v="Pen Model-268"/>
    <n v="313.95"/>
    <n v="6"/>
    <n v="0.15"/>
    <n v="22.15"/>
    <s v="Consumer"/>
  </r>
  <r>
    <s v="ORD-1214"/>
    <s v="2023-04-27"/>
    <x v="1"/>
    <s v="North"/>
    <s v="Technology"/>
    <s v="Monitor"/>
    <s v="Monitor Model-975"/>
    <n v="1099.77"/>
    <n v="8"/>
    <n v="0"/>
    <n v="317.08"/>
    <s v="Home Office"/>
  </r>
  <r>
    <s v="ORD-1215"/>
    <s v="2023-11-22"/>
    <x v="9"/>
    <s v="North"/>
    <s v="Technology"/>
    <s v="Phone"/>
    <s v="Phone Model-669"/>
    <n v="1510.47"/>
    <n v="9"/>
    <n v="0.15"/>
    <n v="3.67"/>
    <s v="Consumer"/>
  </r>
  <r>
    <s v="ORD-1216"/>
    <s v="2023-07-13"/>
    <x v="5"/>
    <s v="West"/>
    <s v="Furniture"/>
    <s v="Bookcase"/>
    <s v="Bookcase Model-750"/>
    <n v="1064.8"/>
    <n v="3"/>
    <n v="0.05"/>
    <n v="225.95"/>
    <s v="Corporate"/>
  </r>
  <r>
    <s v="ORD-1217"/>
    <s v="2023-06-19"/>
    <x v="10"/>
    <s v="North"/>
    <s v="Office Supplies"/>
    <s v="Stapler"/>
    <s v="Stapler Model-997"/>
    <n v="316.88"/>
    <n v="7"/>
    <n v="0.15"/>
    <n v="-8.0399999999999991"/>
    <s v="Home Office"/>
  </r>
  <r>
    <s v="ORD-1218"/>
    <s v="2023-08-03"/>
    <x v="7"/>
    <s v="East"/>
    <s v="Office Supplies"/>
    <s v="Pen"/>
    <s v="Pen Model-171"/>
    <n v="1799.75"/>
    <n v="1"/>
    <n v="0.05"/>
    <n v="254.89"/>
    <s v="Corporate"/>
  </r>
  <r>
    <s v="ORD-1219"/>
    <s v="2023-07-16"/>
    <x v="5"/>
    <s v="West"/>
    <s v="Technology"/>
    <s v="Monitor"/>
    <s v="Monitor Model-330"/>
    <n v="690.28"/>
    <n v="1"/>
    <n v="0.15"/>
    <n v="97.57"/>
    <s v="Corporate"/>
  </r>
  <r>
    <s v="ORD-1220"/>
    <s v="2023-02-15"/>
    <x v="4"/>
    <s v="North"/>
    <s v="Furniture"/>
    <s v="Chair"/>
    <s v="Chair Model-176"/>
    <n v="1384.39"/>
    <n v="4"/>
    <n v="0.1"/>
    <n v="52.21"/>
    <s v="Corporate"/>
  </r>
  <r>
    <s v="ORD-1221"/>
    <s v="2023-07-12"/>
    <x v="5"/>
    <s v="South"/>
    <s v="Technology"/>
    <s v="Monitor"/>
    <s v="Monitor Model-197"/>
    <n v="249.63"/>
    <n v="7"/>
    <n v="0.2"/>
    <n v="-18.79"/>
    <s v="Consumer"/>
  </r>
  <r>
    <s v="ORD-1222"/>
    <s v="2023-10-11"/>
    <x v="11"/>
    <s v="South"/>
    <s v="Office Supplies"/>
    <s v="Paper"/>
    <s v="Paper Model-753"/>
    <n v="1524.96"/>
    <n v="8"/>
    <n v="0.2"/>
    <n v="-137.19"/>
    <s v="Home Office"/>
  </r>
  <r>
    <s v="ORD-1223"/>
    <s v="2023-04-25"/>
    <x v="1"/>
    <s v="West"/>
    <s v="Furniture"/>
    <s v="Chair"/>
    <s v="Chair Model-848"/>
    <n v="1447.92"/>
    <n v="1"/>
    <n v="0.2"/>
    <n v="-31.15"/>
    <s v="Consumer"/>
  </r>
  <r>
    <s v="ORD-1224"/>
    <s v="2023-03-04"/>
    <x v="8"/>
    <s v="East"/>
    <s v="Office Supplies"/>
    <s v="Pen"/>
    <s v="Pen Model-697"/>
    <n v="1095.6500000000001"/>
    <n v="2"/>
    <n v="0"/>
    <n v="270.57"/>
    <s v="Home Office"/>
  </r>
  <r>
    <s v="ORD-1225"/>
    <s v="2023-04-06"/>
    <x v="1"/>
    <s v="West"/>
    <s v="Furniture"/>
    <s v="Table"/>
    <s v="Table Model-448"/>
    <n v="474.78"/>
    <n v="9"/>
    <n v="0.15"/>
    <n v="-1.43"/>
    <s v="Corporate"/>
  </r>
  <r>
    <s v="ORD-1226"/>
    <s v="2023-03-21"/>
    <x v="8"/>
    <s v="North"/>
    <s v="Technology"/>
    <s v="Printer"/>
    <s v="Printer Model-583"/>
    <n v="1063.02"/>
    <n v="2"/>
    <n v="0.1"/>
    <n v="196.42"/>
    <s v="Home Office"/>
  </r>
  <r>
    <s v="ORD-1227"/>
    <s v="2023-01-04"/>
    <x v="2"/>
    <s v="East"/>
    <s v="Technology"/>
    <s v="Printer"/>
    <s v="Printer Model-364"/>
    <n v="843.05"/>
    <n v="3"/>
    <n v="0.2"/>
    <n v="-68.150000000000006"/>
    <s v="Consumer"/>
  </r>
  <r>
    <s v="ORD-1228"/>
    <s v="2023-01-24"/>
    <x v="2"/>
    <s v="West"/>
    <s v="Office Supplies"/>
    <s v="Paper"/>
    <s v="Paper Model-866"/>
    <n v="1214.71"/>
    <n v="2"/>
    <n v="0.05"/>
    <n v="86.28"/>
    <s v="Home Office"/>
  </r>
  <r>
    <s v="ORD-1229"/>
    <s v="2023-04-14"/>
    <x v="1"/>
    <s v="West"/>
    <s v="Furniture"/>
    <s v="Table"/>
    <s v="Table Model-423"/>
    <n v="1243.8"/>
    <n v="2"/>
    <n v="0.2"/>
    <n v="-73.239999999999995"/>
    <s v="Consumer"/>
  </r>
  <r>
    <s v="ORD-1230"/>
    <s v="2023-10-10"/>
    <x v="11"/>
    <s v="East"/>
    <s v="Furniture"/>
    <s v="Bookcase"/>
    <s v="Bookcase Model-102"/>
    <n v="985.21"/>
    <n v="8"/>
    <n v="0.2"/>
    <n v="-19.27"/>
    <s v="Home Office"/>
  </r>
  <r>
    <s v="ORD-1231"/>
    <s v="2023-12-21"/>
    <x v="12"/>
    <s v="East"/>
    <s v="Furniture"/>
    <s v="Bookcase"/>
    <s v="Bookcase Model-921"/>
    <n v="1278.6500000000001"/>
    <n v="2"/>
    <n v="0.1"/>
    <n v="39.99"/>
    <s v="Corporate"/>
  </r>
  <r>
    <s v="ORD-1232"/>
    <s v="2023-06-15"/>
    <x v="10"/>
    <s v="West"/>
    <s v="Furniture"/>
    <s v="Chair"/>
    <s v="Chair Model-481"/>
    <n v="100.57"/>
    <n v="8"/>
    <n v="0"/>
    <n v="8.14"/>
    <s v="Home Office"/>
  </r>
  <r>
    <s v="ORD-1233"/>
    <s v="2023-08-13"/>
    <x v="7"/>
    <s v="North"/>
    <s v="Furniture"/>
    <s v="Bookcase"/>
    <s v="Bookcase Model-618"/>
    <n v="1870.46"/>
    <n v="4"/>
    <n v="0"/>
    <n v="545.75"/>
    <s v="Home Office"/>
  </r>
  <r>
    <s v="ORD-1234"/>
    <s v="2023-04-11"/>
    <x v="1"/>
    <s v="North"/>
    <s v="Technology"/>
    <s v="Phone"/>
    <s v="Phone Model-358"/>
    <n v="1090.92"/>
    <n v="2"/>
    <n v="0.1"/>
    <n v="8.85"/>
    <s v="Home Office"/>
  </r>
  <r>
    <s v="ORD-1235"/>
    <s v="2023-08-25"/>
    <x v="7"/>
    <s v="East"/>
    <s v="Technology"/>
    <s v="Printer"/>
    <s v="Printer Model-780"/>
    <n v="584.05999999999995"/>
    <n v="7"/>
    <n v="0"/>
    <n v="67.739999999999995"/>
    <s v="Consumer"/>
  </r>
  <r>
    <s v="ORD-1236"/>
    <s v="2023-10-04"/>
    <x v="11"/>
    <s v="South"/>
    <s v="Technology"/>
    <s v="Monitor"/>
    <s v="Monitor Model-280"/>
    <n v="1579.72"/>
    <n v="1"/>
    <n v="0.15"/>
    <n v="-46.82"/>
    <s v="Consumer"/>
  </r>
  <r>
    <s v="ORD-1237"/>
    <s v="2023-10-15"/>
    <x v="11"/>
    <s v="South"/>
    <s v="Furniture"/>
    <s v="Table"/>
    <s v="Table Model-426"/>
    <n v="1680.04"/>
    <n v="2"/>
    <n v="0.1"/>
    <n v="-15.26"/>
    <s v="Consumer"/>
  </r>
  <r>
    <s v="ORD-1238"/>
    <s v="2023-12-31"/>
    <x v="12"/>
    <s v="East"/>
    <s v="Office Supplies"/>
    <s v="Stapler"/>
    <s v="Stapler Model-943"/>
    <n v="342.78"/>
    <n v="4"/>
    <n v="0"/>
    <n v="74.849999999999994"/>
    <s v="Consumer"/>
  </r>
  <r>
    <s v="ORD-1239"/>
    <s v="2023-01-26"/>
    <x v="2"/>
    <s v="West"/>
    <s v="Technology"/>
    <s v="Phone"/>
    <s v="Phone Model-377"/>
    <n v="1380.18"/>
    <n v="2"/>
    <n v="0"/>
    <n v="310.8"/>
    <s v="Consumer"/>
  </r>
  <r>
    <s v="ORD-1240"/>
    <s v="2023-03-29"/>
    <x v="8"/>
    <s v="East"/>
    <s v="Furniture"/>
    <s v="Chair"/>
    <s v="Chair Model-806"/>
    <n v="149.47999999999999"/>
    <n v="1"/>
    <n v="0.15"/>
    <n v="-5.77"/>
    <s v="Corporate"/>
  </r>
  <r>
    <s v="ORD-1241"/>
    <s v="2023-08-19"/>
    <x v="7"/>
    <s v="North"/>
    <s v="Furniture"/>
    <s v="Bookcase"/>
    <s v="Bookcase Model-663"/>
    <n v="701.7"/>
    <n v="2"/>
    <n v="0.1"/>
    <n v="132.63999999999999"/>
    <s v="Corporate"/>
  </r>
  <r>
    <s v="ORD-1242"/>
    <s v="2023-11-27"/>
    <x v="9"/>
    <s v="North"/>
    <s v="Furniture"/>
    <s v="Sofa"/>
    <s v="Sofa Model-126"/>
    <n v="1551.19"/>
    <n v="10"/>
    <n v="0.1"/>
    <n v="-73.36"/>
    <s v="Consumer"/>
  </r>
  <r>
    <s v="ORD-1243"/>
    <s v="2023-12-09"/>
    <x v="12"/>
    <s v="South"/>
    <s v="Technology"/>
    <s v="Laptop"/>
    <s v="Laptop Model-303"/>
    <n v="1771.65"/>
    <n v="4"/>
    <n v="0"/>
    <n v="314.56"/>
    <s v="Home Office"/>
  </r>
  <r>
    <s v="ORD-1244"/>
    <s v="2023-08-13"/>
    <x v="7"/>
    <s v="West"/>
    <s v="Technology"/>
    <s v="Monitor"/>
    <s v="Monitor Model-133"/>
    <n v="104.99"/>
    <n v="7"/>
    <n v="0.05"/>
    <n v="12.61"/>
    <s v="Consumer"/>
  </r>
  <r>
    <s v="ORD-1245"/>
    <s v="2023-10-18"/>
    <x v="11"/>
    <s v="South"/>
    <s v="Furniture"/>
    <s v="Table"/>
    <s v="Table Model-255"/>
    <n v="917.72"/>
    <n v="3"/>
    <n v="0.1"/>
    <n v="180.29"/>
    <s v="Home Office"/>
  </r>
  <r>
    <s v="ORD-1246"/>
    <s v="2023-08-24"/>
    <x v="7"/>
    <s v="West"/>
    <s v="Office Supplies"/>
    <s v="Pen"/>
    <s v="Pen Model-772"/>
    <n v="1484.02"/>
    <n v="9"/>
    <n v="0.05"/>
    <n v="336.88"/>
    <s v="Corporate"/>
  </r>
  <r>
    <s v="ORD-1247"/>
    <s v="2023-06-19"/>
    <x v="10"/>
    <s v="East"/>
    <s v="Technology"/>
    <s v="Laptop"/>
    <s v="Laptop Model-829"/>
    <n v="321.19"/>
    <n v="7"/>
    <n v="0.15"/>
    <n v="-5.62"/>
    <s v="Home Office"/>
  </r>
  <r>
    <s v="ORD-1248"/>
    <s v="2023-06-30"/>
    <x v="10"/>
    <s v="West"/>
    <s v="Furniture"/>
    <s v="Bookcase"/>
    <s v="Bookcase Model-574"/>
    <n v="454.44"/>
    <n v="6"/>
    <n v="0"/>
    <n v="124.14"/>
    <s v="Consumer"/>
  </r>
  <r>
    <s v="ORD-1249"/>
    <s v="2023-07-11"/>
    <x v="5"/>
    <s v="East"/>
    <s v="Office Supplies"/>
    <s v="Stapler"/>
    <s v="Stapler Model-612"/>
    <n v="910.53"/>
    <n v="7"/>
    <n v="0.15"/>
    <n v="110.8"/>
    <s v="Home Office"/>
  </r>
  <r>
    <s v="ORD-1250"/>
    <s v="2023-01-18"/>
    <x v="2"/>
    <s v="South"/>
    <s v="Technology"/>
    <s v="Phone"/>
    <s v="Phone Model-364"/>
    <n v="1378.64"/>
    <n v="5"/>
    <n v="0.2"/>
    <n v="31.99"/>
    <s v="Corporate"/>
  </r>
  <r>
    <s v="ORD-1251"/>
    <s v="2023-05-24"/>
    <x v="6"/>
    <s v="West"/>
    <s v="Technology"/>
    <s v="Phone"/>
    <s v="Phone Model-122"/>
    <n v="1323.68"/>
    <n v="6"/>
    <n v="0.15"/>
    <n v="190.92"/>
    <s v="Home Office"/>
  </r>
  <r>
    <s v="ORD-1252"/>
    <s v="2023-08-11"/>
    <x v="7"/>
    <s v="South"/>
    <s v="Technology"/>
    <s v="Laptop"/>
    <s v="Laptop Model-197"/>
    <n v="168.27"/>
    <n v="9"/>
    <n v="0.15"/>
    <n v="20.059999999999999"/>
    <s v="Home Office"/>
  </r>
  <r>
    <s v="ORD-1253"/>
    <s v="2023-07-04"/>
    <x v="5"/>
    <s v="West"/>
    <s v="Office Supplies"/>
    <s v="Stapler"/>
    <s v="Stapler Model-420"/>
    <n v="1451.61"/>
    <n v="4"/>
    <n v="0.1"/>
    <n v="109.24"/>
    <s v="Consumer"/>
  </r>
  <r>
    <s v="ORD-1254"/>
    <s v="2023-03-10"/>
    <x v="8"/>
    <s v="South"/>
    <s v="Technology"/>
    <s v="Laptop"/>
    <s v="Laptop Model-449"/>
    <n v="1244.69"/>
    <n v="6"/>
    <n v="0.1"/>
    <n v="185.02"/>
    <s v="Home Office"/>
  </r>
  <r>
    <s v="ORD-1255"/>
    <s v="2023-01-30"/>
    <x v="2"/>
    <s v="North"/>
    <s v="Furniture"/>
    <s v="Chair"/>
    <s v="Chair Model-331"/>
    <n v="855.41"/>
    <n v="6"/>
    <n v="0.15"/>
    <n v="61.6"/>
    <s v="Home Office"/>
  </r>
  <r>
    <s v="ORD-1256"/>
    <s v="2023-01-19"/>
    <x v="2"/>
    <s v="East"/>
    <s v="Technology"/>
    <s v="Printer"/>
    <s v="Printer Model-653"/>
    <n v="388.34"/>
    <n v="3"/>
    <n v="0"/>
    <n v="52.65"/>
    <s v="Home Office"/>
  </r>
  <r>
    <s v="ORD-1257"/>
    <s v="2023-12-29"/>
    <x v="12"/>
    <s v="West"/>
    <s v="Furniture"/>
    <s v="Chair"/>
    <s v="Chair Model-160"/>
    <n v="78.430000000000007"/>
    <n v="3"/>
    <n v="0"/>
    <n v="14.19"/>
    <s v="Consumer"/>
  </r>
  <r>
    <s v="ORD-1258"/>
    <s v="2023-07-10"/>
    <x v="5"/>
    <s v="North"/>
    <s v="Technology"/>
    <s v="Monitor"/>
    <s v="Monitor Model-153"/>
    <n v="331.32"/>
    <n v="4"/>
    <n v="0"/>
    <n v="91.39"/>
    <s v="Home Office"/>
  </r>
  <r>
    <s v="ORD-1259"/>
    <s v="2023-09-11"/>
    <x v="3"/>
    <s v="East"/>
    <s v="Technology"/>
    <s v="Laptop"/>
    <s v="Laptop Model-870"/>
    <n v="450.64"/>
    <n v="8"/>
    <n v="0"/>
    <n v="127.57"/>
    <s v="Corporate"/>
  </r>
  <r>
    <s v="ORD-1260"/>
    <s v="2023-03-06"/>
    <x v="8"/>
    <s v="South"/>
    <s v="Technology"/>
    <s v="Printer"/>
    <s v="Printer Model-519"/>
    <n v="419.05"/>
    <n v="4"/>
    <n v="0.15"/>
    <n v="-10.02"/>
    <s v="Home Office"/>
  </r>
  <r>
    <s v="ORD-1261"/>
    <s v="2023-10-07"/>
    <x v="11"/>
    <s v="East"/>
    <s v="Office Supplies"/>
    <s v="Pen"/>
    <s v="Pen Model-517"/>
    <n v="1042.25"/>
    <n v="8"/>
    <n v="0.15"/>
    <n v="116.5"/>
    <s v="Corporate"/>
  </r>
  <r>
    <s v="ORD-1262"/>
    <s v="2023-08-18"/>
    <x v="7"/>
    <s v="South"/>
    <s v="Technology"/>
    <s v="Printer"/>
    <s v="Printer Model-606"/>
    <n v="1034.56"/>
    <n v="6"/>
    <n v="0.05"/>
    <n v="88.43"/>
    <s v="Home Office"/>
  </r>
  <r>
    <s v="ORD-1263"/>
    <s v="2023-01-24"/>
    <x v="2"/>
    <s v="West"/>
    <s v="Technology"/>
    <s v="Laptop"/>
    <s v="Laptop Model-983"/>
    <n v="1362.52"/>
    <n v="6"/>
    <n v="0.05"/>
    <n v="264.72000000000003"/>
    <s v="Corporate"/>
  </r>
  <r>
    <s v="ORD-1264"/>
    <s v="2023-04-20"/>
    <x v="1"/>
    <s v="South"/>
    <s v="Technology"/>
    <s v="Printer"/>
    <s v="Printer Model-407"/>
    <n v="1647"/>
    <n v="7"/>
    <n v="0.1"/>
    <n v="187"/>
    <s v="Corporate"/>
  </r>
  <r>
    <s v="ORD-1265"/>
    <s v="2023-05-23"/>
    <x v="6"/>
    <s v="North"/>
    <s v="Furniture"/>
    <s v="Chair"/>
    <s v="Chair Model-651"/>
    <n v="634.46"/>
    <n v="3"/>
    <n v="0"/>
    <n v="183.95"/>
    <s v="Consumer"/>
  </r>
  <r>
    <s v="ORD-1266"/>
    <s v="2023-04-28"/>
    <x v="1"/>
    <s v="South"/>
    <s v="Technology"/>
    <s v="Monitor"/>
    <s v="Monitor Model-975"/>
    <n v="910.04"/>
    <n v="1"/>
    <n v="0"/>
    <n v="111.94"/>
    <s v="Corporate"/>
  </r>
  <r>
    <s v="ORD-1267"/>
    <s v="2023-10-20"/>
    <x v="11"/>
    <s v="North"/>
    <s v="Technology"/>
    <s v="Printer"/>
    <s v="Printer Model-684"/>
    <n v="536.61"/>
    <n v="5"/>
    <n v="0.2"/>
    <n v="-10.41"/>
    <s v="Consumer"/>
  </r>
  <r>
    <s v="ORD-1268"/>
    <s v="2023-01-20"/>
    <x v="2"/>
    <s v="North"/>
    <s v="Technology"/>
    <s v="Laptop"/>
    <s v="Laptop Model-486"/>
    <n v="390.82"/>
    <n v="5"/>
    <n v="0"/>
    <n v="49.1"/>
    <s v="Consumer"/>
  </r>
  <r>
    <s v="ORD-1269"/>
    <s v="2023-01-28"/>
    <x v="2"/>
    <s v="North"/>
    <s v="Technology"/>
    <s v="Phone"/>
    <s v="Phone Model-971"/>
    <n v="1102.27"/>
    <n v="7"/>
    <n v="0.05"/>
    <n v="50.21"/>
    <s v="Home Office"/>
  </r>
  <r>
    <s v="ORD-1270"/>
    <s v="2023-09-15"/>
    <x v="3"/>
    <s v="East"/>
    <s v="Office Supplies"/>
    <s v="Stapler"/>
    <s v="Stapler Model-780"/>
    <n v="1379.51"/>
    <n v="1"/>
    <n v="0"/>
    <n v="248.21"/>
    <s v="Consumer"/>
  </r>
  <r>
    <s v="ORD-1271"/>
    <s v="2023-07-09"/>
    <x v="5"/>
    <s v="North"/>
    <s v="Furniture"/>
    <s v="Table"/>
    <s v="Table Model-651"/>
    <n v="1018.89"/>
    <n v="2"/>
    <n v="0.15"/>
    <n v="-95.74"/>
    <s v="Corporate"/>
  </r>
  <r>
    <s v="ORD-1272"/>
    <s v="2023-07-24"/>
    <x v="5"/>
    <s v="North"/>
    <s v="Office Supplies"/>
    <s v="Paper"/>
    <s v="Paper Model-127"/>
    <n v="1391.85"/>
    <n v="9"/>
    <n v="0.2"/>
    <n v="-2.48"/>
    <s v="Consumer"/>
  </r>
  <r>
    <s v="ORD-1273"/>
    <s v="2023-02-06"/>
    <x v="4"/>
    <s v="North"/>
    <s v="Furniture"/>
    <s v="Table"/>
    <s v="Table Model-194"/>
    <n v="1408.5"/>
    <n v="7"/>
    <n v="0"/>
    <n v="225"/>
    <s v="Corporate"/>
  </r>
  <r>
    <s v="ORD-1274"/>
    <s v="2023-08-05"/>
    <x v="7"/>
    <s v="West"/>
    <s v="Technology"/>
    <s v="Monitor"/>
    <s v="Monitor Model-144"/>
    <n v="229.58"/>
    <n v="1"/>
    <n v="0.1"/>
    <n v="0.86"/>
    <s v="Consumer"/>
  </r>
  <r>
    <s v="ORD-1275"/>
    <s v="2023-01-01"/>
    <x v="2"/>
    <s v="South"/>
    <s v="Technology"/>
    <s v="Printer"/>
    <s v="Printer Model-949"/>
    <n v="1875.93"/>
    <n v="4"/>
    <n v="0"/>
    <n v="107.38"/>
    <s v="Consumer"/>
  </r>
  <r>
    <s v="ORD-1276"/>
    <s v="2023-06-12"/>
    <x v="10"/>
    <s v="North"/>
    <s v="Furniture"/>
    <s v="Bookcase"/>
    <s v="Bookcase Model-739"/>
    <n v="1546.89"/>
    <n v="10"/>
    <n v="0.2"/>
    <n v="-46.37"/>
    <s v="Home Office"/>
  </r>
  <r>
    <s v="ORD-1277"/>
    <s v="2023-05-31"/>
    <x v="6"/>
    <s v="East"/>
    <s v="Office Supplies"/>
    <s v="Stapler"/>
    <s v="Stapler Model-753"/>
    <n v="358.37"/>
    <n v="7"/>
    <n v="0.1"/>
    <n v="16.64"/>
    <s v="Corporate"/>
  </r>
  <r>
    <s v="ORD-1278"/>
    <s v="2023-12-29"/>
    <x v="12"/>
    <s v="North"/>
    <s v="Office Supplies"/>
    <s v="Paper"/>
    <s v="Paper Model-473"/>
    <n v="1119.1099999999999"/>
    <n v="3"/>
    <n v="0"/>
    <n v="319.02"/>
    <s v="Home Office"/>
  </r>
  <r>
    <s v="ORD-1279"/>
    <s v="2023-07-08"/>
    <x v="5"/>
    <s v="East"/>
    <s v="Technology"/>
    <s v="Printer"/>
    <s v="Printer Model-512"/>
    <n v="856.21"/>
    <n v="4"/>
    <n v="0.1"/>
    <n v="-24.59"/>
    <s v="Consumer"/>
  </r>
  <r>
    <s v="ORD-1280"/>
    <s v="2023-07-13"/>
    <x v="5"/>
    <s v="West"/>
    <s v="Furniture"/>
    <s v="Table"/>
    <s v="Table Model-122"/>
    <n v="1351.04"/>
    <n v="7"/>
    <n v="0.1"/>
    <n v="-60.74"/>
    <s v="Corporate"/>
  </r>
  <r>
    <s v="ORD-1281"/>
    <s v="2023-01-17"/>
    <x v="2"/>
    <s v="East"/>
    <s v="Technology"/>
    <s v="Phone"/>
    <s v="Phone Model-911"/>
    <n v="1430.66"/>
    <n v="5"/>
    <n v="0.15"/>
    <n v="204.84"/>
    <s v="Corporate"/>
  </r>
  <r>
    <s v="ORD-1282"/>
    <s v="2023-08-17"/>
    <x v="7"/>
    <s v="North"/>
    <s v="Furniture"/>
    <s v="Chair"/>
    <s v="Chair Model-451"/>
    <n v="887.56"/>
    <n v="10"/>
    <n v="0.05"/>
    <n v="98.22"/>
    <s v="Home Office"/>
  </r>
  <r>
    <s v="ORD-1283"/>
    <s v="2023-03-12"/>
    <x v="8"/>
    <s v="East"/>
    <s v="Technology"/>
    <s v="Printer"/>
    <s v="Printer Model-777"/>
    <n v="229.47"/>
    <n v="3"/>
    <n v="0"/>
    <n v="12.56"/>
    <s v="Corporate"/>
  </r>
  <r>
    <s v="ORD-1284"/>
    <s v="2023-02-14"/>
    <x v="4"/>
    <s v="South"/>
    <s v="Furniture"/>
    <s v="Chair"/>
    <s v="Chair Model-739"/>
    <n v="186.28"/>
    <n v="1"/>
    <n v="0.2"/>
    <n v="-8.16"/>
    <s v="Corporate"/>
  </r>
  <r>
    <s v="ORD-1285"/>
    <s v="2023-04-28"/>
    <x v="1"/>
    <s v="East"/>
    <s v="Office Supplies"/>
    <s v="Binder"/>
    <s v="Binder Model-368"/>
    <n v="1310.23"/>
    <n v="7"/>
    <n v="0.1"/>
    <n v="240.98"/>
    <s v="Consumer"/>
  </r>
  <r>
    <s v="ORD-1286"/>
    <s v="2023-06-08"/>
    <x v="10"/>
    <s v="South"/>
    <s v="Technology"/>
    <s v="Laptop"/>
    <s v="Laptop Model-583"/>
    <n v="1603.58"/>
    <n v="8"/>
    <n v="0"/>
    <n v="168.83"/>
    <s v="Home Office"/>
  </r>
  <r>
    <s v="ORD-1287"/>
    <s v="2023-06-09"/>
    <x v="10"/>
    <s v="West"/>
    <s v="Furniture"/>
    <s v="Sofa"/>
    <s v="Sofa Model-251"/>
    <n v="894.81"/>
    <n v="10"/>
    <n v="0.1"/>
    <n v="165.56"/>
    <s v="Corporate"/>
  </r>
  <r>
    <s v="ORD-1288"/>
    <s v="2023-04-30"/>
    <x v="1"/>
    <s v="South"/>
    <s v="Furniture"/>
    <s v="Table"/>
    <s v="Table Model-376"/>
    <n v="308.42"/>
    <n v="6"/>
    <n v="0.05"/>
    <n v="40.96"/>
    <s v="Corporate"/>
  </r>
  <r>
    <s v="ORD-1289"/>
    <s v="2023-06-08"/>
    <x v="10"/>
    <s v="South"/>
    <s v="Technology"/>
    <s v="Phone"/>
    <s v="Phone Model-410"/>
    <n v="557.88"/>
    <n v="6"/>
    <n v="0"/>
    <n v="86.01"/>
    <s v="Home Office"/>
  </r>
  <r>
    <s v="ORD-1290"/>
    <s v="2023-08-21"/>
    <x v="7"/>
    <s v="North"/>
    <s v="Technology"/>
    <s v="Phone"/>
    <s v="Phone Model-996"/>
    <n v="1149.3499999999999"/>
    <n v="4"/>
    <n v="0.2"/>
    <n v="-155.80000000000001"/>
    <s v="Home Office"/>
  </r>
  <r>
    <s v="ORD-1291"/>
    <s v="2023-06-30"/>
    <x v="10"/>
    <s v="East"/>
    <s v="Technology"/>
    <s v="Phone"/>
    <s v="Phone Model-532"/>
    <n v="1526.21"/>
    <n v="2"/>
    <n v="0"/>
    <n v="356.44"/>
    <s v="Consumer"/>
  </r>
  <r>
    <s v="ORD-1292"/>
    <s v="2023-10-07"/>
    <x v="11"/>
    <s v="South"/>
    <s v="Technology"/>
    <s v="Phone"/>
    <s v="Phone Model-929"/>
    <n v="1042.45"/>
    <n v="3"/>
    <n v="0.2"/>
    <n v="103.99"/>
    <s v="Corporate"/>
  </r>
  <r>
    <s v="ORD-1293"/>
    <s v="2023-07-14"/>
    <x v="5"/>
    <s v="South"/>
    <s v="Furniture"/>
    <s v="Chair"/>
    <s v="Chair Model-661"/>
    <n v="1103.45"/>
    <n v="7"/>
    <n v="0.15"/>
    <n v="118.93"/>
    <s v="Home Office"/>
  </r>
  <r>
    <s v="ORD-1294"/>
    <s v="2023-11-03"/>
    <x v="9"/>
    <s v="East"/>
    <s v="Furniture"/>
    <s v="Chair"/>
    <s v="Chair Model-144"/>
    <n v="1770.08"/>
    <n v="1"/>
    <n v="0.1"/>
    <n v="-75.55"/>
    <s v="Corporate"/>
  </r>
  <r>
    <s v="ORD-1295"/>
    <s v="2023-02-15"/>
    <x v="4"/>
    <s v="West"/>
    <s v="Furniture"/>
    <s v="Chair"/>
    <s v="Chair Model-935"/>
    <n v="371.99"/>
    <n v="9"/>
    <n v="0.1"/>
    <n v="-10.9"/>
    <s v="Consumer"/>
  </r>
  <r>
    <s v="ORD-1296"/>
    <s v="2023-09-27"/>
    <x v="3"/>
    <s v="North"/>
    <s v="Office Supplies"/>
    <s v="Paper"/>
    <s v="Paper Model-677"/>
    <n v="182.52"/>
    <n v="4"/>
    <n v="0.15"/>
    <n v="-9.76"/>
    <s v="Consumer"/>
  </r>
  <r>
    <s v="ORD-1297"/>
    <s v="2023-01-23"/>
    <x v="2"/>
    <s v="North"/>
    <s v="Furniture"/>
    <s v="Sofa"/>
    <s v="Sofa Model-322"/>
    <n v="881.17"/>
    <n v="3"/>
    <n v="0"/>
    <n v="165.78"/>
    <s v="Home Office"/>
  </r>
  <r>
    <s v="ORD-1298"/>
    <s v="2023-03-31"/>
    <x v="8"/>
    <s v="South"/>
    <s v="Office Supplies"/>
    <s v="Paper"/>
    <s v="Paper Model-976"/>
    <n v="431.25"/>
    <n v="1"/>
    <n v="0.15"/>
    <n v="44.69"/>
    <s v="Corporate"/>
  </r>
  <r>
    <s v="ORD-1299"/>
    <s v="2023-05-27"/>
    <x v="6"/>
    <s v="East"/>
    <s v="Technology"/>
    <s v="Laptop"/>
    <s v="Laptop Model-331"/>
    <n v="334.41"/>
    <n v="10"/>
    <n v="0"/>
    <n v="81.510000000000005"/>
    <s v="Home Office"/>
  </r>
  <r>
    <s v="ORD-1300"/>
    <s v="2023-04-27"/>
    <x v="1"/>
    <s v="West"/>
    <s v="Furniture"/>
    <s v="Table"/>
    <s v="Table Model-547"/>
    <n v="259.27"/>
    <n v="3"/>
    <n v="0.2"/>
    <n v="-32.57"/>
    <s v="Home Office"/>
  </r>
  <r>
    <s v="ORD-1301"/>
    <s v="2023-03-18"/>
    <x v="8"/>
    <s v="South"/>
    <s v="Technology"/>
    <s v="Phone"/>
    <s v="Phone Model-676"/>
    <n v="187.32"/>
    <n v="6"/>
    <n v="0"/>
    <n v="34.96"/>
    <s v="Corporate"/>
  </r>
  <r>
    <s v="ORD-1302"/>
    <s v="2023-01-05"/>
    <x v="2"/>
    <s v="East"/>
    <s v="Office Supplies"/>
    <s v="Binder"/>
    <s v="Binder Model-752"/>
    <n v="1920.91"/>
    <n v="6"/>
    <n v="0.15"/>
    <n v="-168.76"/>
    <s v="Home Office"/>
  </r>
  <r>
    <s v="ORD-1303"/>
    <s v="2023-01-20"/>
    <x v="2"/>
    <s v="South"/>
    <s v="Technology"/>
    <s v="Printer"/>
    <s v="Printer Model-132"/>
    <n v="1704.02"/>
    <n v="7"/>
    <n v="0.2"/>
    <n v="54.94"/>
    <s v="Corporate"/>
  </r>
  <r>
    <s v="ORD-1304"/>
    <s v="2023-02-08"/>
    <x v="4"/>
    <s v="East"/>
    <s v="Office Supplies"/>
    <s v="Binder"/>
    <s v="Binder Model-531"/>
    <n v="920.6"/>
    <n v="2"/>
    <n v="0.2"/>
    <n v="-64.69"/>
    <s v="Consumer"/>
  </r>
  <r>
    <s v="ORD-1305"/>
    <s v="2023-01-27"/>
    <x v="2"/>
    <s v="East"/>
    <s v="Office Supplies"/>
    <s v="Pen"/>
    <s v="Pen Model-976"/>
    <n v="808.35"/>
    <n v="7"/>
    <n v="0.1"/>
    <n v="117.31"/>
    <s v="Home Office"/>
  </r>
  <r>
    <s v="ORD-1306"/>
    <s v="2023-12-10"/>
    <x v="12"/>
    <s v="West"/>
    <s v="Office Supplies"/>
    <s v="Stapler"/>
    <s v="Stapler Model-860"/>
    <n v="1758.46"/>
    <n v="2"/>
    <n v="0"/>
    <n v="114.26"/>
    <s v="Consumer"/>
  </r>
  <r>
    <s v="ORD-1307"/>
    <s v="2023-07-13"/>
    <x v="5"/>
    <s v="West"/>
    <s v="Office Supplies"/>
    <s v="Binder"/>
    <s v="Binder Model-938"/>
    <n v="973.14"/>
    <n v="3"/>
    <n v="0"/>
    <n v="89.28"/>
    <s v="Consumer"/>
  </r>
  <r>
    <s v="ORD-1308"/>
    <s v="2023-07-02"/>
    <x v="5"/>
    <s v="East"/>
    <s v="Furniture"/>
    <s v="Chair"/>
    <s v="Chair Model-854"/>
    <n v="564.22"/>
    <n v="9"/>
    <n v="0"/>
    <n v="40.159999999999997"/>
    <s v="Corporate"/>
  </r>
  <r>
    <s v="ORD-1309"/>
    <s v="2023-12-24"/>
    <x v="12"/>
    <s v="East"/>
    <s v="Office Supplies"/>
    <s v="Paper"/>
    <s v="Paper Model-158"/>
    <n v="1561.99"/>
    <n v="4"/>
    <n v="0.15"/>
    <n v="79.03"/>
    <s v="Home Office"/>
  </r>
  <r>
    <s v="ORD-1310"/>
    <s v="2023-06-14"/>
    <x v="10"/>
    <s v="West"/>
    <s v="Technology"/>
    <s v="Laptop"/>
    <s v="Laptop Model-958"/>
    <n v="1394.07"/>
    <n v="3"/>
    <n v="0.1"/>
    <n v="-62.13"/>
    <s v="Home Office"/>
  </r>
  <r>
    <s v="ORD-1311"/>
    <s v="2023-02-25"/>
    <x v="4"/>
    <s v="East"/>
    <s v="Technology"/>
    <s v="Monitor"/>
    <s v="Monitor Model-327"/>
    <n v="311.36"/>
    <n v="3"/>
    <n v="0.2"/>
    <n v="20.62"/>
    <s v="Consumer"/>
  </r>
  <r>
    <s v="ORD-1312"/>
    <s v="2023-10-13"/>
    <x v="11"/>
    <s v="North"/>
    <s v="Office Supplies"/>
    <s v="Stapler"/>
    <s v="Stapler Model-840"/>
    <n v="629.44000000000005"/>
    <n v="4"/>
    <n v="0.1"/>
    <n v="30.5"/>
    <s v="Corporate"/>
  </r>
  <r>
    <s v="ORD-1313"/>
    <s v="2023-08-10"/>
    <x v="7"/>
    <s v="North"/>
    <s v="Furniture"/>
    <s v="Sofa"/>
    <s v="Sofa Model-241"/>
    <n v="342.82"/>
    <n v="6"/>
    <n v="0.2"/>
    <n v="-16.27"/>
    <s v="Corporate"/>
  </r>
  <r>
    <s v="ORD-1314"/>
    <s v="2023-11-06"/>
    <x v="9"/>
    <s v="East"/>
    <s v="Technology"/>
    <s v="Monitor"/>
    <s v="Monitor Model-552"/>
    <n v="1835.4"/>
    <n v="7"/>
    <n v="0.1"/>
    <n v="-18.16"/>
    <s v="Corporate"/>
  </r>
  <r>
    <s v="ORD-1315"/>
    <s v="2023-06-29"/>
    <x v="10"/>
    <s v="West"/>
    <s v="Technology"/>
    <s v="Printer"/>
    <s v="Printer Model-425"/>
    <n v="1573.08"/>
    <n v="1"/>
    <n v="0.2"/>
    <n v="-222.89"/>
    <s v="Consumer"/>
  </r>
  <r>
    <s v="ORD-1316"/>
    <s v="2023-08-16"/>
    <x v="7"/>
    <s v="East"/>
    <s v="Furniture"/>
    <s v="Chair"/>
    <s v="Chair Model-624"/>
    <n v="377.21"/>
    <n v="1"/>
    <n v="0.15"/>
    <n v="14.92"/>
    <s v="Corporate"/>
  </r>
  <r>
    <s v="ORD-1317"/>
    <s v="2023-08-24"/>
    <x v="7"/>
    <s v="East"/>
    <s v="Office Supplies"/>
    <s v="Paper"/>
    <s v="Paper Model-501"/>
    <n v="886.87"/>
    <n v="3"/>
    <n v="0.1"/>
    <n v="169.55"/>
    <s v="Corporate"/>
  </r>
  <r>
    <s v="ORD-1318"/>
    <s v="2023-10-20"/>
    <x v="11"/>
    <s v="East"/>
    <s v="Office Supplies"/>
    <s v="Binder"/>
    <s v="Binder Model-912"/>
    <n v="674.96"/>
    <n v="2"/>
    <n v="0"/>
    <n v="82.21"/>
    <s v="Home Office"/>
  </r>
  <r>
    <s v="ORD-1319"/>
    <s v="2023-03-18"/>
    <x v="8"/>
    <s v="West"/>
    <s v="Technology"/>
    <s v="Phone"/>
    <s v="Phone Model-685"/>
    <n v="1607.62"/>
    <n v="1"/>
    <n v="0.15"/>
    <n v="57.93"/>
    <s v="Corporate"/>
  </r>
  <r>
    <s v="ORD-1320"/>
    <s v="2023-12-01"/>
    <x v="12"/>
    <s v="East"/>
    <s v="Technology"/>
    <s v="Monitor"/>
    <s v="Monitor Model-741"/>
    <n v="615.83000000000004"/>
    <n v="10"/>
    <n v="0"/>
    <n v="116.25"/>
    <s v="Corporate"/>
  </r>
  <r>
    <s v="ORD-1321"/>
    <s v="2023-05-03"/>
    <x v="6"/>
    <s v="West"/>
    <s v="Office Supplies"/>
    <s v="Paper"/>
    <s v="Paper Model-184"/>
    <n v="710.44"/>
    <n v="1"/>
    <n v="0.15"/>
    <n v="-4.9400000000000004"/>
    <s v="Home Office"/>
  </r>
  <r>
    <s v="ORD-1322"/>
    <s v="2023-03-28"/>
    <x v="8"/>
    <s v="North"/>
    <s v="Office Supplies"/>
    <s v="Binder"/>
    <s v="Binder Model-162"/>
    <n v="939.36"/>
    <n v="4"/>
    <n v="0.2"/>
    <n v="-28.51"/>
    <s v="Consumer"/>
  </r>
  <r>
    <s v="ORD-1323"/>
    <s v="2023-02-06"/>
    <x v="4"/>
    <s v="East"/>
    <s v="Technology"/>
    <s v="Laptop"/>
    <s v="Laptop Model-726"/>
    <n v="1631.16"/>
    <n v="7"/>
    <n v="0.05"/>
    <n v="363.12"/>
    <s v="Corporate"/>
  </r>
  <r>
    <s v="ORD-1324"/>
    <s v="2023-10-04"/>
    <x v="11"/>
    <s v="South"/>
    <s v="Furniture"/>
    <s v="Chair"/>
    <s v="Chair Model-619"/>
    <n v="934.61"/>
    <n v="7"/>
    <n v="0.1"/>
    <n v="60.49"/>
    <s v="Consumer"/>
  </r>
  <r>
    <s v="ORD-1325"/>
    <s v="2023-06-14"/>
    <x v="10"/>
    <s v="South"/>
    <s v="Office Supplies"/>
    <s v="Stapler"/>
    <s v="Stapler Model-869"/>
    <n v="1745.82"/>
    <n v="1"/>
    <n v="0.2"/>
    <n v="-213.22"/>
    <s v="Corporate"/>
  </r>
  <r>
    <s v="ORD-1326"/>
    <s v="2023-03-22"/>
    <x v="8"/>
    <s v="South"/>
    <s v="Furniture"/>
    <s v="Chair"/>
    <s v="Chair Model-308"/>
    <n v="485.97"/>
    <n v="5"/>
    <n v="0.1"/>
    <n v="52.83"/>
    <s v="Consumer"/>
  </r>
  <r>
    <s v="ORD-1327"/>
    <s v="2023-07-06"/>
    <x v="5"/>
    <s v="South"/>
    <s v="Office Supplies"/>
    <s v="Binder"/>
    <s v="Binder Model-992"/>
    <n v="1366.57"/>
    <n v="5"/>
    <n v="0"/>
    <n v="155.11000000000001"/>
    <s v="Consumer"/>
  </r>
  <r>
    <s v="ORD-1328"/>
    <s v="2023-07-03"/>
    <x v="5"/>
    <s v="East"/>
    <s v="Technology"/>
    <s v="Monitor"/>
    <s v="Monitor Model-417"/>
    <n v="1899.4"/>
    <n v="10"/>
    <n v="0.1"/>
    <n v="-44.42"/>
    <s v="Home Office"/>
  </r>
  <r>
    <s v="ORD-1329"/>
    <s v="2023-09-19"/>
    <x v="3"/>
    <s v="North"/>
    <s v="Office Supplies"/>
    <s v="Stapler"/>
    <s v="Stapler Model-883"/>
    <n v="815.32"/>
    <n v="2"/>
    <n v="0.2"/>
    <n v="-41.21"/>
    <s v="Consumer"/>
  </r>
  <r>
    <s v="ORD-1330"/>
    <s v="2023-05-21"/>
    <x v="6"/>
    <s v="South"/>
    <s v="Technology"/>
    <s v="Printer"/>
    <s v="Printer Model-430"/>
    <n v="1467.1"/>
    <n v="8"/>
    <n v="0.2"/>
    <n v="-5.14"/>
    <s v="Corporate"/>
  </r>
  <r>
    <s v="ORD-1331"/>
    <s v="2023-01-28"/>
    <x v="2"/>
    <s v="East"/>
    <s v="Furniture"/>
    <s v="Bookcase"/>
    <s v="Bookcase Model-958"/>
    <n v="1991.29"/>
    <n v="2"/>
    <n v="0"/>
    <n v="289.8"/>
    <s v="Corporate"/>
  </r>
  <r>
    <s v="ORD-1332"/>
    <s v="2023-10-16"/>
    <x v="11"/>
    <s v="East"/>
    <s v="Furniture"/>
    <s v="Bookcase"/>
    <s v="Bookcase Model-286"/>
    <n v="1975.41"/>
    <n v="7"/>
    <n v="0"/>
    <n v="482.73"/>
    <s v="Consumer"/>
  </r>
  <r>
    <s v="ORD-1333"/>
    <s v="2023-03-28"/>
    <x v="8"/>
    <s v="North"/>
    <s v="Furniture"/>
    <s v="Chair"/>
    <s v="Chair Model-809"/>
    <n v="1301.23"/>
    <n v="3"/>
    <n v="0.2"/>
    <n v="7.65"/>
    <s v="Consumer"/>
  </r>
  <r>
    <s v="ORD-1334"/>
    <s v="2023-04-07"/>
    <x v="1"/>
    <s v="West"/>
    <s v="Technology"/>
    <s v="Printer"/>
    <s v="Printer Model-508"/>
    <n v="143.88999999999999"/>
    <n v="9"/>
    <n v="0.15"/>
    <n v="-13.29"/>
    <s v="Consumer"/>
  </r>
  <r>
    <s v="ORD-1335"/>
    <s v="2023-04-17"/>
    <x v="1"/>
    <s v="East"/>
    <s v="Office Supplies"/>
    <s v="Pen"/>
    <s v="Pen Model-936"/>
    <n v="1799.02"/>
    <n v="5"/>
    <n v="0.1"/>
    <n v="9.82"/>
    <s v="Home Office"/>
  </r>
  <r>
    <s v="ORD-1336"/>
    <s v="2023-08-25"/>
    <x v="7"/>
    <s v="North"/>
    <s v="Technology"/>
    <s v="Monitor"/>
    <s v="Monitor Model-133"/>
    <n v="995.22"/>
    <n v="4"/>
    <n v="0.15"/>
    <n v="81.78"/>
    <s v="Home Office"/>
  </r>
  <r>
    <s v="ORD-1337"/>
    <s v="2023-07-02"/>
    <x v="5"/>
    <s v="North"/>
    <s v="Technology"/>
    <s v="Monitor"/>
    <s v="Monitor Model-124"/>
    <n v="926.55"/>
    <n v="10"/>
    <n v="0.2"/>
    <n v="-18.45"/>
    <s v="Corporate"/>
  </r>
  <r>
    <s v="ORD-1338"/>
    <s v="2023-12-11"/>
    <x v="12"/>
    <s v="South"/>
    <s v="Technology"/>
    <s v="Laptop"/>
    <s v="Laptop Model-983"/>
    <n v="1671.79"/>
    <n v="4"/>
    <n v="0.2"/>
    <n v="-162.30000000000001"/>
    <s v="Home Office"/>
  </r>
  <r>
    <s v="ORD-1339"/>
    <s v="2023-09-28"/>
    <x v="3"/>
    <s v="South"/>
    <s v="Furniture"/>
    <s v="Bookcase"/>
    <s v="Bookcase Model-938"/>
    <n v="1495.32"/>
    <n v="3"/>
    <n v="0.05"/>
    <n v="344.98"/>
    <s v="Consumer"/>
  </r>
  <r>
    <s v="ORD-1340"/>
    <s v="2023-03-10"/>
    <x v="8"/>
    <s v="South"/>
    <s v="Technology"/>
    <s v="Printer"/>
    <s v="Printer Model-584"/>
    <n v="1134.69"/>
    <n v="6"/>
    <n v="0"/>
    <n v="74.760000000000005"/>
    <s v="Corporate"/>
  </r>
  <r>
    <s v="ORD-1341"/>
    <s v="2023-07-11"/>
    <x v="5"/>
    <s v="East"/>
    <s v="Furniture"/>
    <s v="Sofa"/>
    <s v="Sofa Model-457"/>
    <n v="631.26"/>
    <n v="4"/>
    <n v="0.1"/>
    <n v="-6.52"/>
    <s v="Home Office"/>
  </r>
  <r>
    <s v="ORD-1342"/>
    <s v="2023-11-29"/>
    <x v="9"/>
    <s v="East"/>
    <s v="Technology"/>
    <s v="Laptop"/>
    <s v="Laptop Model-512"/>
    <n v="765.19"/>
    <n v="10"/>
    <n v="0.1"/>
    <n v="132.65"/>
    <s v="Home Office"/>
  </r>
  <r>
    <s v="ORD-1343"/>
    <s v="2023-10-04"/>
    <x v="11"/>
    <s v="North"/>
    <s v="Office Supplies"/>
    <s v="Stapler"/>
    <s v="Stapler Model-601"/>
    <n v="434.64"/>
    <n v="8"/>
    <n v="0.1"/>
    <n v="55.54"/>
    <s v="Home Office"/>
  </r>
  <r>
    <s v="ORD-1344"/>
    <s v="2023-05-11"/>
    <x v="6"/>
    <s v="West"/>
    <s v="Technology"/>
    <s v="Laptop"/>
    <s v="Laptop Model-106"/>
    <n v="1943.58"/>
    <n v="7"/>
    <n v="0.15"/>
    <n v="261.5"/>
    <s v="Consumer"/>
  </r>
  <r>
    <s v="ORD-1345"/>
    <s v="2023-09-02"/>
    <x v="3"/>
    <s v="West"/>
    <s v="Technology"/>
    <s v="Phone"/>
    <s v="Phone Model-668"/>
    <n v="1340.05"/>
    <n v="10"/>
    <n v="0.1"/>
    <n v="76.849999999999994"/>
    <s v="Home Office"/>
  </r>
  <r>
    <s v="ORD-1346"/>
    <s v="2023-10-11"/>
    <x v="11"/>
    <s v="South"/>
    <s v="Furniture"/>
    <s v="Chair"/>
    <s v="Chair Model-978"/>
    <n v="1482.2"/>
    <n v="9"/>
    <n v="0.05"/>
    <n v="3.8"/>
    <s v="Consumer"/>
  </r>
  <r>
    <s v="ORD-1347"/>
    <s v="2023-06-26"/>
    <x v="10"/>
    <s v="South"/>
    <s v="Office Supplies"/>
    <s v="Binder"/>
    <s v="Binder Model-758"/>
    <n v="371.59"/>
    <n v="7"/>
    <n v="0.2"/>
    <n v="6.91"/>
    <s v="Corporate"/>
  </r>
  <r>
    <s v="ORD-1348"/>
    <s v="2023-03-30"/>
    <x v="8"/>
    <s v="South"/>
    <s v="Office Supplies"/>
    <s v="Paper"/>
    <s v="Paper Model-300"/>
    <n v="1036.07"/>
    <n v="7"/>
    <n v="0.15"/>
    <n v="98.52"/>
    <s v="Home Office"/>
  </r>
  <r>
    <s v="ORD-1349"/>
    <s v="2023-07-17"/>
    <x v="5"/>
    <s v="West"/>
    <s v="Technology"/>
    <s v="Phone"/>
    <s v="Phone Model-469"/>
    <n v="975"/>
    <n v="10"/>
    <n v="0.2"/>
    <n v="95.72"/>
    <s v="Consumer"/>
  </r>
  <r>
    <s v="ORD-1350"/>
    <s v="2023-12-22"/>
    <x v="12"/>
    <s v="West"/>
    <s v="Office Supplies"/>
    <s v="Binder"/>
    <s v="Binder Model-249"/>
    <n v="1276.9100000000001"/>
    <n v="1"/>
    <n v="0.2"/>
    <n v="111.39"/>
    <s v="Home Office"/>
  </r>
  <r>
    <s v="ORD-1351"/>
    <s v="2023-03-18"/>
    <x v="8"/>
    <s v="North"/>
    <s v="Office Supplies"/>
    <s v="Paper"/>
    <s v="Paper Model-584"/>
    <n v="910.02"/>
    <n v="10"/>
    <n v="0.15"/>
    <n v="97.43"/>
    <s v="Home Office"/>
  </r>
  <r>
    <s v="ORD-1352"/>
    <s v="2023-03-31"/>
    <x v="8"/>
    <s v="South"/>
    <s v="Office Supplies"/>
    <s v="Pen"/>
    <s v="Pen Model-597"/>
    <n v="893.81"/>
    <n v="2"/>
    <n v="0.15"/>
    <n v="8.5299999999999994"/>
    <s v="Corporate"/>
  </r>
  <r>
    <s v="ORD-1353"/>
    <s v="2023-04-28"/>
    <x v="1"/>
    <s v="West"/>
    <s v="Technology"/>
    <s v="Laptop"/>
    <s v="Laptop Model-519"/>
    <n v="1907.42"/>
    <n v="5"/>
    <n v="0.1"/>
    <n v="106.26"/>
    <s v="Home Office"/>
  </r>
  <r>
    <s v="ORD-1354"/>
    <s v="2023-07-12"/>
    <x v="5"/>
    <s v="West"/>
    <s v="Office Supplies"/>
    <s v="Binder"/>
    <s v="Binder Model-789"/>
    <n v="753.64"/>
    <n v="9"/>
    <n v="0"/>
    <n v="44.12"/>
    <s v="Corporate"/>
  </r>
  <r>
    <s v="ORD-1355"/>
    <s v="2023-02-08"/>
    <x v="4"/>
    <s v="West"/>
    <s v="Office Supplies"/>
    <s v="Paper"/>
    <s v="Paper Model-871"/>
    <n v="1301.17"/>
    <n v="8"/>
    <n v="0.05"/>
    <n v="104.22"/>
    <s v="Home Office"/>
  </r>
  <r>
    <s v="ORD-1356"/>
    <s v="2023-05-18"/>
    <x v="6"/>
    <s v="North"/>
    <s v="Office Supplies"/>
    <s v="Binder"/>
    <s v="Binder Model-713"/>
    <n v="1150.98"/>
    <n v="2"/>
    <n v="0.2"/>
    <n v="109.76"/>
    <s v="Home Office"/>
  </r>
  <r>
    <s v="ORD-1357"/>
    <s v="2023-03-13"/>
    <x v="8"/>
    <s v="North"/>
    <s v="Technology"/>
    <s v="Printer"/>
    <s v="Printer Model-233"/>
    <n v="61.83"/>
    <n v="1"/>
    <n v="0.1"/>
    <n v="-0.51"/>
    <s v="Consumer"/>
  </r>
  <r>
    <s v="ORD-1358"/>
    <s v="2023-12-28"/>
    <x v="12"/>
    <s v="South"/>
    <s v="Furniture"/>
    <s v="Sofa"/>
    <s v="Sofa Model-193"/>
    <n v="100.28"/>
    <n v="6"/>
    <n v="0.15"/>
    <n v="12.7"/>
    <s v="Consumer"/>
  </r>
  <r>
    <s v="ORD-1359"/>
    <s v="2023-01-30"/>
    <x v="2"/>
    <s v="South"/>
    <s v="Office Supplies"/>
    <s v="Stapler"/>
    <s v="Stapler Model-941"/>
    <n v="1503.22"/>
    <n v="10"/>
    <n v="0.05"/>
    <n v="238.52"/>
    <s v="Consumer"/>
  </r>
  <r>
    <s v="ORD-1360"/>
    <s v="2023-05-07"/>
    <x v="6"/>
    <s v="East"/>
    <s v="Furniture"/>
    <s v="Table"/>
    <s v="Table Model-599"/>
    <n v="129.33000000000001"/>
    <n v="2"/>
    <n v="0.05"/>
    <n v="19.91"/>
    <s v="Home Office"/>
  </r>
  <r>
    <s v="ORD-1361"/>
    <s v="2023-08-24"/>
    <x v="7"/>
    <s v="West"/>
    <s v="Furniture"/>
    <s v="Table"/>
    <s v="Table Model-974"/>
    <n v="1556.69"/>
    <n v="8"/>
    <n v="0.2"/>
    <n v="56.76"/>
    <s v="Consumer"/>
  </r>
  <r>
    <s v="ORD-1362"/>
    <s v="2023-08-27"/>
    <x v="7"/>
    <s v="North"/>
    <s v="Furniture"/>
    <s v="Sofa"/>
    <s v="Sofa Model-684"/>
    <n v="1598.85"/>
    <n v="7"/>
    <n v="0.15"/>
    <n v="185.68"/>
    <s v="Home Office"/>
  </r>
  <r>
    <s v="ORD-1363"/>
    <s v="2023-10-25"/>
    <x v="11"/>
    <s v="East"/>
    <s v="Furniture"/>
    <s v="Table"/>
    <s v="Table Model-331"/>
    <n v="904.39"/>
    <n v="4"/>
    <n v="0.1"/>
    <n v="18.239999999999998"/>
    <s v="Consumer"/>
  </r>
  <r>
    <s v="ORD-1364"/>
    <s v="2023-05-20"/>
    <x v="6"/>
    <s v="East"/>
    <s v="Furniture"/>
    <s v="Table"/>
    <s v="Table Model-549"/>
    <n v="235.01"/>
    <n v="5"/>
    <n v="0.1"/>
    <n v="19.850000000000001"/>
    <s v="Consumer"/>
  </r>
  <r>
    <s v="ORD-1365"/>
    <s v="2023-09-11"/>
    <x v="3"/>
    <s v="North"/>
    <s v="Office Supplies"/>
    <s v="Binder"/>
    <s v="Binder Model-635"/>
    <n v="1148.83"/>
    <n v="10"/>
    <n v="0.2"/>
    <n v="-84.36"/>
    <s v="Consumer"/>
  </r>
  <r>
    <s v="ORD-1366"/>
    <s v="2023-09-14"/>
    <x v="3"/>
    <s v="West"/>
    <s v="Furniture"/>
    <s v="Table"/>
    <s v="Table Model-235"/>
    <n v="1649.39"/>
    <n v="6"/>
    <n v="0.1"/>
    <n v="121.62"/>
    <s v="Corporate"/>
  </r>
  <r>
    <s v="ORD-1367"/>
    <s v="2023-02-14"/>
    <x v="4"/>
    <s v="South"/>
    <s v="Office Supplies"/>
    <s v="Paper"/>
    <s v="Paper Model-824"/>
    <n v="847.77"/>
    <n v="6"/>
    <n v="0.2"/>
    <n v="-45.72"/>
    <s v="Corporate"/>
  </r>
  <r>
    <s v="ORD-1368"/>
    <s v="2023-07-01"/>
    <x v="5"/>
    <s v="North"/>
    <s v="Technology"/>
    <s v="Printer"/>
    <s v="Printer Model-209"/>
    <n v="577.38"/>
    <n v="7"/>
    <n v="0.05"/>
    <n v="21.81"/>
    <s v="Consumer"/>
  </r>
  <r>
    <s v="ORD-1369"/>
    <s v="2023-01-29"/>
    <x v="2"/>
    <s v="East"/>
    <s v="Technology"/>
    <s v="Phone"/>
    <s v="Phone Model-745"/>
    <n v="974.77"/>
    <n v="4"/>
    <n v="0.1"/>
    <n v="32.93"/>
    <s v="Home Office"/>
  </r>
  <r>
    <s v="ORD-1370"/>
    <s v="2023-11-03"/>
    <x v="9"/>
    <s v="West"/>
    <s v="Office Supplies"/>
    <s v="Binder"/>
    <s v="Binder Model-274"/>
    <n v="52.02"/>
    <n v="8"/>
    <n v="0.2"/>
    <n v="-0.96"/>
    <s v="Consumer"/>
  </r>
  <r>
    <s v="ORD-1371"/>
    <s v="2023-05-19"/>
    <x v="6"/>
    <s v="East"/>
    <s v="Technology"/>
    <s v="Printer"/>
    <s v="Printer Model-259"/>
    <n v="720.99"/>
    <n v="9"/>
    <n v="0.2"/>
    <n v="55.41"/>
    <s v="Corporate"/>
  </r>
  <r>
    <s v="ORD-1372"/>
    <s v="2023-08-31"/>
    <x v="7"/>
    <s v="South"/>
    <s v="Furniture"/>
    <s v="Table"/>
    <s v="Table Model-824"/>
    <n v="1353"/>
    <n v="3"/>
    <n v="0.05"/>
    <n v="44.53"/>
    <s v="Consumer"/>
  </r>
  <r>
    <s v="ORD-1373"/>
    <s v="2023-12-17"/>
    <x v="12"/>
    <s v="East"/>
    <s v="Technology"/>
    <s v="Laptop"/>
    <s v="Laptop Model-465"/>
    <n v="1212.96"/>
    <n v="6"/>
    <n v="0.2"/>
    <n v="-124.1"/>
    <s v="Corporate"/>
  </r>
  <r>
    <s v="ORD-1374"/>
    <s v="2023-04-23"/>
    <x v="1"/>
    <s v="North"/>
    <s v="Office Supplies"/>
    <s v="Stapler"/>
    <s v="Stapler Model-220"/>
    <n v="437.61"/>
    <n v="7"/>
    <n v="0.05"/>
    <n v="65.27"/>
    <s v="Consumer"/>
  </r>
  <r>
    <s v="ORD-1375"/>
    <s v="2023-11-19"/>
    <x v="9"/>
    <s v="South"/>
    <s v="Technology"/>
    <s v="Printer"/>
    <s v="Printer Model-197"/>
    <n v="1063.45"/>
    <n v="9"/>
    <n v="0.1"/>
    <n v="157.5"/>
    <s v="Corporate"/>
  </r>
  <r>
    <s v="ORD-1376"/>
    <s v="2023-09-01"/>
    <x v="3"/>
    <s v="East"/>
    <s v="Furniture"/>
    <s v="Bookcase"/>
    <s v="Bookcase Model-926"/>
    <n v="1886.27"/>
    <n v="8"/>
    <n v="0"/>
    <n v="511.28"/>
    <s v="Home Office"/>
  </r>
  <r>
    <s v="ORD-1377"/>
    <s v="2023-03-23"/>
    <x v="8"/>
    <s v="West"/>
    <s v="Technology"/>
    <s v="Phone"/>
    <s v="Phone Model-275"/>
    <n v="742.86"/>
    <n v="10"/>
    <n v="0.1"/>
    <n v="146.06"/>
    <s v="Home Office"/>
  </r>
  <r>
    <s v="ORD-1378"/>
    <s v="2023-08-22"/>
    <x v="7"/>
    <s v="North"/>
    <s v="Technology"/>
    <s v="Phone"/>
    <s v="Phone Model-622"/>
    <n v="639.03"/>
    <n v="3"/>
    <n v="0.05"/>
    <n v="81.72"/>
    <s v="Corporate"/>
  </r>
  <r>
    <s v="ORD-1379"/>
    <s v="2023-05-07"/>
    <x v="6"/>
    <s v="South"/>
    <s v="Technology"/>
    <s v="Monitor"/>
    <s v="Monitor Model-346"/>
    <n v="1371.41"/>
    <n v="8"/>
    <n v="0.1"/>
    <n v="0.13"/>
    <s v="Consumer"/>
  </r>
  <r>
    <s v="ORD-1380"/>
    <s v="2023-05-08"/>
    <x v="6"/>
    <s v="North"/>
    <s v="Technology"/>
    <s v="Laptop"/>
    <s v="Laptop Model-314"/>
    <n v="828.77"/>
    <n v="7"/>
    <n v="0.2"/>
    <n v="59.45"/>
    <s v="Corporate"/>
  </r>
  <r>
    <s v="ORD-1381"/>
    <s v="2023-10-15"/>
    <x v="11"/>
    <s v="North"/>
    <s v="Furniture"/>
    <s v="Bookcase"/>
    <s v="Bookcase Model-997"/>
    <n v="1357.88"/>
    <n v="3"/>
    <n v="0.15"/>
    <n v="-112.99"/>
    <s v="Home Office"/>
  </r>
  <r>
    <s v="ORD-1382"/>
    <s v="2023-06-02"/>
    <x v="10"/>
    <s v="North"/>
    <s v="Office Supplies"/>
    <s v="Binder"/>
    <s v="Binder Model-358"/>
    <n v="853.11"/>
    <n v="9"/>
    <n v="0.2"/>
    <n v="-43.82"/>
    <s v="Corporate"/>
  </r>
  <r>
    <s v="ORD-1383"/>
    <s v="2023-08-13"/>
    <x v="7"/>
    <s v="South"/>
    <s v="Technology"/>
    <s v="Phone"/>
    <s v="Phone Model-926"/>
    <n v="129.93"/>
    <n v="4"/>
    <n v="0.15"/>
    <n v="-6.15"/>
    <s v="Home Office"/>
  </r>
  <r>
    <s v="ORD-1384"/>
    <s v="2023-07-16"/>
    <x v="5"/>
    <s v="East"/>
    <s v="Office Supplies"/>
    <s v="Binder"/>
    <s v="Binder Model-605"/>
    <n v="1951.6"/>
    <n v="7"/>
    <n v="0"/>
    <n v="450.07"/>
    <s v="Consumer"/>
  </r>
  <r>
    <s v="ORD-1385"/>
    <s v="2023-11-02"/>
    <x v="9"/>
    <s v="North"/>
    <s v="Office Supplies"/>
    <s v="Binder"/>
    <s v="Binder Model-781"/>
    <n v="1117.99"/>
    <n v="6"/>
    <n v="0.05"/>
    <n v="235.41"/>
    <s v="Consumer"/>
  </r>
  <r>
    <s v="ORD-1386"/>
    <s v="2023-03-02"/>
    <x v="8"/>
    <s v="East"/>
    <s v="Furniture"/>
    <s v="Chair"/>
    <s v="Chair Model-457"/>
    <n v="801.7"/>
    <n v="3"/>
    <n v="0.05"/>
    <n v="191.53"/>
    <s v="Consumer"/>
  </r>
  <r>
    <s v="ORD-1387"/>
    <s v="2023-08-15"/>
    <x v="7"/>
    <s v="West"/>
    <s v="Office Supplies"/>
    <s v="Paper"/>
    <s v="Paper Model-913"/>
    <n v="1131.44"/>
    <n v="7"/>
    <n v="0.1"/>
    <n v="-4.33"/>
    <s v="Home Office"/>
  </r>
  <r>
    <s v="ORD-1388"/>
    <s v="2023-05-08"/>
    <x v="6"/>
    <s v="North"/>
    <s v="Office Supplies"/>
    <s v="Stapler"/>
    <s v="Stapler Model-820"/>
    <n v="1981.38"/>
    <n v="8"/>
    <n v="0.15"/>
    <n v="-86.64"/>
    <s v="Home Office"/>
  </r>
  <r>
    <s v="ORD-1389"/>
    <s v="2023-07-28"/>
    <x v="5"/>
    <s v="North"/>
    <s v="Furniture"/>
    <s v="Sofa"/>
    <s v="Sofa Model-439"/>
    <n v="301.70999999999998"/>
    <n v="10"/>
    <n v="0.2"/>
    <n v="2.54"/>
    <s v="Home Office"/>
  </r>
  <r>
    <s v="ORD-1390"/>
    <s v="2023-01-01"/>
    <x v="2"/>
    <s v="North"/>
    <s v="Technology"/>
    <s v="Laptop"/>
    <s v="Laptop Model-976"/>
    <n v="635.85"/>
    <n v="10"/>
    <n v="0.05"/>
    <n v="29.31"/>
    <s v="Corporate"/>
  </r>
  <r>
    <s v="ORD-1391"/>
    <s v="2023-09-02"/>
    <x v="3"/>
    <s v="South"/>
    <s v="Office Supplies"/>
    <s v="Binder"/>
    <s v="Binder Model-533"/>
    <n v="1161.5899999999999"/>
    <n v="2"/>
    <n v="0.05"/>
    <n v="125.09"/>
    <s v="Home Office"/>
  </r>
  <r>
    <s v="ORD-1392"/>
    <s v="2023-03-04"/>
    <x v="8"/>
    <s v="East"/>
    <s v="Technology"/>
    <s v="Printer"/>
    <s v="Printer Model-839"/>
    <n v="511.24"/>
    <n v="6"/>
    <n v="0.05"/>
    <n v="66.22"/>
    <s v="Consumer"/>
  </r>
  <r>
    <s v="ORD-1393"/>
    <s v="2023-03-21"/>
    <x v="8"/>
    <s v="South"/>
    <s v="Furniture"/>
    <s v="Table"/>
    <s v="Table Model-883"/>
    <n v="1283.6600000000001"/>
    <n v="6"/>
    <n v="0.05"/>
    <n v="127.56"/>
    <s v="Home Office"/>
  </r>
  <r>
    <s v="ORD-1394"/>
    <s v="2023-02-13"/>
    <x v="4"/>
    <s v="South"/>
    <s v="Technology"/>
    <s v="Laptop"/>
    <s v="Laptop Model-194"/>
    <n v="1831.42"/>
    <n v="1"/>
    <n v="0.1"/>
    <n v="352.97"/>
    <s v="Consumer"/>
  </r>
  <r>
    <s v="ORD-1395"/>
    <s v="2023-03-28"/>
    <x v="8"/>
    <s v="North"/>
    <s v="Office Supplies"/>
    <s v="Pen"/>
    <s v="Pen Model-422"/>
    <n v="752.73"/>
    <n v="3"/>
    <n v="0.05"/>
    <n v="176.18"/>
    <s v="Corporate"/>
  </r>
  <r>
    <s v="ORD-1396"/>
    <s v="2023-09-17"/>
    <x v="3"/>
    <s v="East"/>
    <s v="Office Supplies"/>
    <s v="Binder"/>
    <s v="Binder Model-435"/>
    <n v="1327.14"/>
    <n v="6"/>
    <n v="0.15"/>
    <n v="-49.77"/>
    <s v="Corporate"/>
  </r>
  <r>
    <s v="ORD-1397"/>
    <s v="2023-10-17"/>
    <x v="11"/>
    <s v="West"/>
    <s v="Technology"/>
    <s v="Monitor"/>
    <s v="Monitor Model-794"/>
    <n v="510.57"/>
    <n v="7"/>
    <n v="0.1"/>
    <n v="82.5"/>
    <s v="Corporate"/>
  </r>
  <r>
    <s v="ORD-1398"/>
    <s v="2023-09-13"/>
    <x v="3"/>
    <s v="South"/>
    <s v="Furniture"/>
    <s v="Table"/>
    <s v="Table Model-912"/>
    <n v="1865.18"/>
    <n v="2"/>
    <n v="0.1"/>
    <n v="1.22"/>
    <s v="Home Office"/>
  </r>
  <r>
    <s v="ORD-1399"/>
    <s v="2023-01-22"/>
    <x v="2"/>
    <s v="West"/>
    <s v="Furniture"/>
    <s v="Chair"/>
    <s v="Chair Model-399"/>
    <n v="1501.53"/>
    <n v="2"/>
    <n v="0"/>
    <n v="131.44999999999999"/>
    <s v="Home Office"/>
  </r>
  <r>
    <s v="ORD-1400"/>
    <s v="2023-08-17"/>
    <x v="7"/>
    <s v="South"/>
    <s v="Furniture"/>
    <s v="Bookcase"/>
    <s v="Bookcase Model-477"/>
    <n v="212.03"/>
    <n v="1"/>
    <n v="0.15"/>
    <n v="26.58"/>
    <s v="Home Office"/>
  </r>
  <r>
    <s v="ORD-1401"/>
    <s v="2023-09-03"/>
    <x v="3"/>
    <s v="North"/>
    <s v="Technology"/>
    <s v="Laptop"/>
    <s v="Laptop Model-558"/>
    <n v="1193.55"/>
    <n v="5"/>
    <n v="0.1"/>
    <n v="-9.7100000000000009"/>
    <s v="Corporate"/>
  </r>
  <r>
    <s v="ORD-1402"/>
    <s v="2023-02-17"/>
    <x v="4"/>
    <s v="South"/>
    <s v="Office Supplies"/>
    <s v="Stapler"/>
    <s v="Stapler Model-394"/>
    <n v="1940.92"/>
    <n v="8"/>
    <n v="0.1"/>
    <n v="320.86"/>
    <s v="Consumer"/>
  </r>
  <r>
    <s v="ORD-1403"/>
    <s v="2023-02-02"/>
    <x v="4"/>
    <s v="North"/>
    <s v="Office Supplies"/>
    <s v="Pen"/>
    <s v="Pen Model-106"/>
    <n v="462.73"/>
    <n v="4"/>
    <n v="0"/>
    <n v="106.05"/>
    <s v="Consumer"/>
  </r>
  <r>
    <s v="ORD-1404"/>
    <s v="2023-05-04"/>
    <x v="6"/>
    <s v="East"/>
    <s v="Furniture"/>
    <s v="Table"/>
    <s v="Table Model-158"/>
    <n v="690.76"/>
    <n v="8"/>
    <n v="0.15"/>
    <n v="13.74"/>
    <s v="Home Office"/>
  </r>
  <r>
    <s v="ORD-1405"/>
    <s v="2023-06-08"/>
    <x v="10"/>
    <s v="South"/>
    <s v="Technology"/>
    <s v="Printer"/>
    <s v="Printer Model-268"/>
    <n v="1598.36"/>
    <n v="8"/>
    <n v="0"/>
    <n v="90.54"/>
    <s v="Home Office"/>
  </r>
  <r>
    <s v="ORD-1406"/>
    <s v="2023-08-03"/>
    <x v="7"/>
    <s v="West"/>
    <s v="Office Supplies"/>
    <s v="Binder"/>
    <s v="Binder Model-127"/>
    <n v="415.9"/>
    <n v="6"/>
    <n v="0"/>
    <n v="116.67"/>
    <s v="Corporate"/>
  </r>
  <r>
    <s v="ORD-1407"/>
    <s v="2023-06-09"/>
    <x v="10"/>
    <s v="South"/>
    <s v="Furniture"/>
    <s v="Bookcase"/>
    <s v="Bookcase Model-569"/>
    <n v="1770.44"/>
    <n v="1"/>
    <n v="0.15"/>
    <n v="-25.08"/>
    <s v="Corporate"/>
  </r>
  <r>
    <s v="ORD-1408"/>
    <s v="2023-05-24"/>
    <x v="6"/>
    <s v="East"/>
    <s v="Office Supplies"/>
    <s v="Paper"/>
    <s v="Paper Model-388"/>
    <n v="121.49"/>
    <n v="9"/>
    <n v="0"/>
    <n v="30.23"/>
    <s v="Consumer"/>
  </r>
  <r>
    <s v="ORD-1409"/>
    <s v="2023-12-03"/>
    <x v="12"/>
    <s v="South"/>
    <s v="Technology"/>
    <s v="Phone"/>
    <s v="Phone Model-517"/>
    <n v="1095.22"/>
    <n v="4"/>
    <n v="0.2"/>
    <n v="32.54"/>
    <s v="Consumer"/>
  </r>
  <r>
    <s v="ORD-1410"/>
    <s v="2023-09-05"/>
    <x v="3"/>
    <s v="North"/>
    <s v="Furniture"/>
    <s v="Sofa"/>
    <s v="Sofa Model-651"/>
    <n v="110.28"/>
    <n v="9"/>
    <n v="0.05"/>
    <n v="9.93"/>
    <s v="Home Office"/>
  </r>
  <r>
    <s v="ORD-1411"/>
    <s v="2023-05-30"/>
    <x v="6"/>
    <s v="West"/>
    <s v="Office Supplies"/>
    <s v="Pen"/>
    <s v="Pen Model-974"/>
    <n v="593.21"/>
    <n v="4"/>
    <n v="0.1"/>
    <n v="36.43"/>
    <s v="Home Office"/>
  </r>
  <r>
    <s v="ORD-1412"/>
    <s v="2023-11-03"/>
    <x v="9"/>
    <s v="West"/>
    <s v="Office Supplies"/>
    <s v="Pen"/>
    <s v="Pen Model-199"/>
    <n v="1520.62"/>
    <n v="8"/>
    <n v="0.2"/>
    <n v="-153.78"/>
    <s v="Home Office"/>
  </r>
  <r>
    <s v="ORD-1413"/>
    <s v="2023-02-05"/>
    <x v="4"/>
    <s v="West"/>
    <s v="Furniture"/>
    <s v="Bookcase"/>
    <s v="Bookcase Model-180"/>
    <n v="349.43"/>
    <n v="2"/>
    <n v="0.2"/>
    <n v="1.22"/>
    <s v="Home Office"/>
  </r>
  <r>
    <s v="ORD-1414"/>
    <s v="2023-07-24"/>
    <x v="5"/>
    <s v="South"/>
    <s v="Furniture"/>
    <s v="Chair"/>
    <s v="Chair Model-143"/>
    <n v="924.98"/>
    <n v="6"/>
    <n v="0.2"/>
    <n v="-99.4"/>
    <s v="Home Office"/>
  </r>
  <r>
    <s v="ORD-1415"/>
    <s v="2023-12-11"/>
    <x v="12"/>
    <s v="East"/>
    <s v="Office Supplies"/>
    <s v="Pen"/>
    <s v="Pen Model-964"/>
    <n v="1509.87"/>
    <n v="4"/>
    <n v="0"/>
    <n v="388.49"/>
    <s v="Corporate"/>
  </r>
  <r>
    <s v="ORD-1416"/>
    <s v="2023-11-09"/>
    <x v="9"/>
    <s v="East"/>
    <s v="Furniture"/>
    <s v="Bookcase"/>
    <s v="Bookcase Model-627"/>
    <n v="1592.97"/>
    <n v="2"/>
    <n v="0.1"/>
    <n v="49.65"/>
    <s v="Corporate"/>
  </r>
  <r>
    <s v="ORD-1417"/>
    <s v="2023-09-13"/>
    <x v="3"/>
    <s v="South"/>
    <s v="Furniture"/>
    <s v="Table"/>
    <s v="Table Model-955"/>
    <n v="746.6"/>
    <n v="1"/>
    <n v="0.1"/>
    <n v="142.62"/>
    <s v="Consumer"/>
  </r>
  <r>
    <s v="ORD-1418"/>
    <s v="2023-12-14"/>
    <x v="12"/>
    <s v="East"/>
    <s v="Office Supplies"/>
    <s v="Paper"/>
    <s v="Paper Model-192"/>
    <n v="685.92"/>
    <n v="5"/>
    <n v="0.05"/>
    <n v="92.46"/>
    <s v="Corporate"/>
  </r>
  <r>
    <s v="ORD-1419"/>
    <s v="2023-11-14"/>
    <x v="9"/>
    <s v="South"/>
    <s v="Office Supplies"/>
    <s v="Binder"/>
    <s v="Binder Model-930"/>
    <n v="1207.02"/>
    <n v="4"/>
    <n v="0.05"/>
    <n v="79.88"/>
    <s v="Corporate"/>
  </r>
  <r>
    <s v="ORD-1420"/>
    <s v="2023-07-22"/>
    <x v="5"/>
    <s v="South"/>
    <s v="Technology"/>
    <s v="Phone"/>
    <s v="Phone Model-292"/>
    <n v="891.22"/>
    <n v="1"/>
    <n v="0.05"/>
    <n v="208.6"/>
    <s v="Corporate"/>
  </r>
  <r>
    <s v="ORD-1421"/>
    <s v="2023-12-06"/>
    <x v="12"/>
    <s v="East"/>
    <s v="Office Supplies"/>
    <s v="Pen"/>
    <s v="Pen Model-942"/>
    <n v="542.01"/>
    <n v="5"/>
    <n v="0.1"/>
    <n v="1.48"/>
    <s v="Consumer"/>
  </r>
  <r>
    <s v="ORD-1422"/>
    <s v="2023-03-16"/>
    <x v="8"/>
    <s v="North"/>
    <s v="Furniture"/>
    <s v="Table"/>
    <s v="Table Model-965"/>
    <n v="156.32"/>
    <n v="6"/>
    <n v="0"/>
    <n v="10.45"/>
    <s v="Consumer"/>
  </r>
  <r>
    <s v="ORD-1423"/>
    <s v="2023-10-13"/>
    <x v="11"/>
    <s v="West"/>
    <s v="Office Supplies"/>
    <s v="Stapler"/>
    <s v="Stapler Model-677"/>
    <n v="253.75"/>
    <n v="2"/>
    <n v="0.1"/>
    <n v="21.25"/>
    <s v="Consumer"/>
  </r>
  <r>
    <s v="ORD-1424"/>
    <s v="2023-10-21"/>
    <x v="11"/>
    <s v="East"/>
    <s v="Technology"/>
    <s v="Printer"/>
    <s v="Printer Model-136"/>
    <n v="1388.07"/>
    <n v="9"/>
    <n v="0"/>
    <n v="415.44"/>
    <s v="Home Office"/>
  </r>
  <r>
    <s v="ORD-1425"/>
    <s v="2023-03-22"/>
    <x v="8"/>
    <s v="West"/>
    <s v="Technology"/>
    <s v="Printer"/>
    <s v="Printer Model-474"/>
    <n v="1027.49"/>
    <n v="3"/>
    <n v="0"/>
    <n v="154.34"/>
    <s v="Home Office"/>
  </r>
  <r>
    <s v="ORD-1426"/>
    <s v="2023-09-17"/>
    <x v="3"/>
    <s v="South"/>
    <s v="Furniture"/>
    <s v="Sofa"/>
    <s v="Sofa Model-170"/>
    <n v="1866.7"/>
    <n v="4"/>
    <n v="0.1"/>
    <n v="-89.63"/>
    <s v="Consumer"/>
  </r>
  <r>
    <s v="ORD-1427"/>
    <s v="2023-05-10"/>
    <x v="6"/>
    <s v="South"/>
    <s v="Furniture"/>
    <s v="Chair"/>
    <s v="Chair Model-638"/>
    <n v="470.39"/>
    <n v="5"/>
    <n v="0"/>
    <n v="97.47"/>
    <s v="Corporate"/>
  </r>
  <r>
    <s v="ORD-1428"/>
    <s v="2023-06-29"/>
    <x v="10"/>
    <s v="West"/>
    <s v="Technology"/>
    <s v="Printer"/>
    <s v="Printer Model-561"/>
    <n v="1077.19"/>
    <n v="6"/>
    <n v="0.15"/>
    <n v="39.81"/>
    <s v="Consumer"/>
  </r>
  <r>
    <s v="ORD-1429"/>
    <s v="2023-11-05"/>
    <x v="9"/>
    <s v="West"/>
    <s v="Furniture"/>
    <s v="Sofa"/>
    <s v="Sofa Model-989"/>
    <n v="517.33000000000004"/>
    <n v="2"/>
    <n v="0.15"/>
    <n v="24.25"/>
    <s v="Consumer"/>
  </r>
  <r>
    <s v="ORD-1430"/>
    <s v="2023-05-03"/>
    <x v="6"/>
    <s v="South"/>
    <s v="Office Supplies"/>
    <s v="Paper"/>
    <s v="Paper Model-627"/>
    <n v="279.12"/>
    <n v="1"/>
    <n v="0"/>
    <n v="68.349999999999994"/>
    <s v="Consumer"/>
  </r>
  <r>
    <s v="ORD-1431"/>
    <s v="2023-05-30"/>
    <x v="6"/>
    <s v="West"/>
    <s v="Office Supplies"/>
    <s v="Binder"/>
    <s v="Binder Model-216"/>
    <n v="1441.11"/>
    <n v="7"/>
    <n v="0.05"/>
    <n v="128.6"/>
    <s v="Home Office"/>
  </r>
  <r>
    <s v="ORD-1432"/>
    <s v="2023-05-28"/>
    <x v="6"/>
    <s v="South"/>
    <s v="Office Supplies"/>
    <s v="Binder"/>
    <s v="Binder Model-478"/>
    <n v="1800.18"/>
    <n v="3"/>
    <n v="0.15"/>
    <n v="-18.77"/>
    <s v="Corporate"/>
  </r>
  <r>
    <s v="ORD-1433"/>
    <s v="2023-11-21"/>
    <x v="9"/>
    <s v="East"/>
    <s v="Furniture"/>
    <s v="Chair"/>
    <s v="Chair Model-434"/>
    <n v="1751.26"/>
    <n v="7"/>
    <n v="0.2"/>
    <n v="-124.93"/>
    <s v="Consumer"/>
  </r>
  <r>
    <s v="ORD-1434"/>
    <s v="2023-03-07"/>
    <x v="8"/>
    <s v="North"/>
    <s v="Office Supplies"/>
    <s v="Pen"/>
    <s v="Pen Model-106"/>
    <n v="1838.57"/>
    <n v="8"/>
    <n v="0.2"/>
    <n v="83.22"/>
    <s v="Home Office"/>
  </r>
  <r>
    <s v="ORD-1435"/>
    <s v="2023-06-02"/>
    <x v="10"/>
    <s v="East"/>
    <s v="Furniture"/>
    <s v="Sofa"/>
    <s v="Sofa Model-877"/>
    <n v="1348.63"/>
    <n v="5"/>
    <n v="0.15"/>
    <n v="43.13"/>
    <s v="Home Office"/>
  </r>
  <r>
    <s v="ORD-1436"/>
    <s v="2023-12-10"/>
    <x v="12"/>
    <s v="North"/>
    <s v="Office Supplies"/>
    <s v="Binder"/>
    <s v="Binder Model-350"/>
    <n v="712.81"/>
    <n v="9"/>
    <n v="0"/>
    <n v="94.3"/>
    <s v="Consumer"/>
  </r>
  <r>
    <s v="ORD-1437"/>
    <s v="2023-05-11"/>
    <x v="6"/>
    <s v="East"/>
    <s v="Office Supplies"/>
    <s v="Paper"/>
    <s v="Paper Model-437"/>
    <n v="336.56"/>
    <n v="4"/>
    <n v="0.15"/>
    <n v="-31.62"/>
    <s v="Corporate"/>
  </r>
  <r>
    <s v="ORD-1438"/>
    <s v="2023-07-06"/>
    <x v="5"/>
    <s v="South"/>
    <s v="Technology"/>
    <s v="Printer"/>
    <s v="Printer Model-129"/>
    <n v="754.73"/>
    <n v="9"/>
    <n v="0.2"/>
    <n v="-76.3"/>
    <s v="Home Office"/>
  </r>
  <r>
    <s v="ORD-1439"/>
    <s v="2023-08-02"/>
    <x v="7"/>
    <s v="South"/>
    <s v="Office Supplies"/>
    <s v="Pen"/>
    <s v="Pen Model-552"/>
    <n v="196.52"/>
    <n v="8"/>
    <n v="0.05"/>
    <n v="12.37"/>
    <s v="Consumer"/>
  </r>
  <r>
    <s v="ORD-1440"/>
    <s v="2023-01-03"/>
    <x v="2"/>
    <s v="North"/>
    <s v="Furniture"/>
    <s v="Bookcase"/>
    <s v="Bookcase Model-879"/>
    <n v="1261"/>
    <n v="8"/>
    <n v="0.15"/>
    <n v="49.06"/>
    <s v="Corporate"/>
  </r>
  <r>
    <s v="ORD-1441"/>
    <s v="2023-06-07"/>
    <x v="10"/>
    <s v="West"/>
    <s v="Office Supplies"/>
    <s v="Stapler"/>
    <s v="Stapler Model-894"/>
    <n v="552.91999999999996"/>
    <n v="2"/>
    <n v="0"/>
    <n v="49.57"/>
    <s v="Corporate"/>
  </r>
  <r>
    <s v="ORD-1442"/>
    <s v="2023-07-11"/>
    <x v="5"/>
    <s v="East"/>
    <s v="Technology"/>
    <s v="Monitor"/>
    <s v="Monitor Model-294"/>
    <n v="204.63"/>
    <n v="3"/>
    <n v="0.1"/>
    <n v="-9.15"/>
    <s v="Corporate"/>
  </r>
  <r>
    <s v="ORD-1443"/>
    <s v="2023-03-29"/>
    <x v="8"/>
    <s v="South"/>
    <s v="Furniture"/>
    <s v="Table"/>
    <s v="Table Model-829"/>
    <n v="1973.94"/>
    <n v="9"/>
    <n v="0.1"/>
    <n v="321.89999999999998"/>
    <s v="Home Office"/>
  </r>
  <r>
    <s v="ORD-1444"/>
    <s v="2023-03-22"/>
    <x v="8"/>
    <s v="South"/>
    <s v="Office Supplies"/>
    <s v="Paper"/>
    <s v="Paper Model-250"/>
    <n v="777.93"/>
    <n v="9"/>
    <n v="0"/>
    <n v="229.85"/>
    <s v="Consumer"/>
  </r>
  <r>
    <s v="ORD-1445"/>
    <s v="2023-04-23"/>
    <x v="1"/>
    <s v="West"/>
    <s v="Furniture"/>
    <s v="Table"/>
    <s v="Table Model-860"/>
    <n v="953.89"/>
    <n v="4"/>
    <n v="0.05"/>
    <n v="67.52"/>
    <s v="Corporate"/>
  </r>
  <r>
    <s v="ORD-1446"/>
    <s v="2023-01-09"/>
    <x v="2"/>
    <s v="East"/>
    <s v="Technology"/>
    <s v="Phone"/>
    <s v="Phone Model-350"/>
    <n v="863.13"/>
    <n v="5"/>
    <n v="0.1"/>
    <n v="136.11000000000001"/>
    <s v="Home Office"/>
  </r>
  <r>
    <s v="ORD-1447"/>
    <s v="2023-11-11"/>
    <x v="9"/>
    <s v="West"/>
    <s v="Office Supplies"/>
    <s v="Pen"/>
    <s v="Pen Model-525"/>
    <n v="1350.42"/>
    <n v="10"/>
    <n v="0.15"/>
    <n v="-132.61000000000001"/>
    <s v="Home Office"/>
  </r>
  <r>
    <s v="ORD-1448"/>
    <s v="2023-10-15"/>
    <x v="11"/>
    <s v="East"/>
    <s v="Technology"/>
    <s v="Monitor"/>
    <s v="Monitor Model-568"/>
    <n v="914.84"/>
    <n v="6"/>
    <n v="0.2"/>
    <n v="71.41"/>
    <s v="Corporate"/>
  </r>
  <r>
    <s v="ORD-1449"/>
    <s v="2023-01-31"/>
    <x v="2"/>
    <s v="West"/>
    <s v="Technology"/>
    <s v="Monitor"/>
    <s v="Monitor Model-296"/>
    <n v="328.19"/>
    <n v="5"/>
    <n v="0.2"/>
    <n v="-8.01"/>
    <s v="Corporate"/>
  </r>
  <r>
    <s v="ORD-1450"/>
    <s v="2023-12-03"/>
    <x v="12"/>
    <s v="North"/>
    <s v="Office Supplies"/>
    <s v="Stapler"/>
    <s v="Stapler Model-276"/>
    <n v="1717.82"/>
    <n v="2"/>
    <n v="0.15"/>
    <n v="-33.06"/>
    <s v="Consumer"/>
  </r>
  <r>
    <s v="ORD-1451"/>
    <s v="2023-01-11"/>
    <x v="2"/>
    <s v="West"/>
    <s v="Technology"/>
    <s v="Printer"/>
    <s v="Printer Model-298"/>
    <n v="1293.1099999999999"/>
    <n v="5"/>
    <n v="0.1"/>
    <n v="145.05000000000001"/>
    <s v="Home Office"/>
  </r>
  <r>
    <s v="ORD-1452"/>
    <s v="2023-06-24"/>
    <x v="10"/>
    <s v="East"/>
    <s v="Office Supplies"/>
    <s v="Paper"/>
    <s v="Paper Model-242"/>
    <n v="782.28"/>
    <n v="9"/>
    <n v="0"/>
    <n v="127.52"/>
    <s v="Consumer"/>
  </r>
  <r>
    <s v="ORD-1453"/>
    <s v="2023-10-15"/>
    <x v="11"/>
    <s v="East"/>
    <s v="Technology"/>
    <s v="Phone"/>
    <s v="Phone Model-128"/>
    <n v="108.96"/>
    <n v="7"/>
    <n v="0.15"/>
    <n v="-6"/>
    <s v="Home Office"/>
  </r>
  <r>
    <s v="ORD-1454"/>
    <s v="2023-01-31"/>
    <x v="2"/>
    <s v="East"/>
    <s v="Technology"/>
    <s v="Laptop"/>
    <s v="Laptop Model-515"/>
    <n v="322.64999999999998"/>
    <n v="9"/>
    <n v="0.15"/>
    <n v="5.09"/>
    <s v="Corporate"/>
  </r>
  <r>
    <s v="ORD-1455"/>
    <s v="2023-10-05"/>
    <x v="11"/>
    <s v="East"/>
    <s v="Technology"/>
    <s v="Monitor"/>
    <s v="Monitor Model-991"/>
    <n v="1755.31"/>
    <n v="9"/>
    <n v="0.2"/>
    <n v="-181.99"/>
    <s v="Consumer"/>
  </r>
  <r>
    <s v="ORD-1456"/>
    <s v="2023-04-26"/>
    <x v="1"/>
    <s v="South"/>
    <s v="Furniture"/>
    <s v="Bookcase"/>
    <s v="Bookcase Model-574"/>
    <n v="1494.71"/>
    <n v="7"/>
    <n v="0.2"/>
    <n v="29.95"/>
    <s v="Corporate"/>
  </r>
  <r>
    <s v="ORD-1457"/>
    <s v="2023-03-22"/>
    <x v="8"/>
    <s v="South"/>
    <s v="Office Supplies"/>
    <s v="Paper"/>
    <s v="Paper Model-754"/>
    <n v="1206.77"/>
    <n v="2"/>
    <n v="0.2"/>
    <n v="-161.26"/>
    <s v="Home Office"/>
  </r>
  <r>
    <s v="ORD-1458"/>
    <s v="2023-03-16"/>
    <x v="8"/>
    <s v="East"/>
    <s v="Office Supplies"/>
    <s v="Stapler"/>
    <s v="Stapler Model-208"/>
    <n v="310.82"/>
    <n v="3"/>
    <n v="0.05"/>
    <n v="22.54"/>
    <s v="Home Office"/>
  </r>
  <r>
    <s v="ORD-1459"/>
    <s v="2023-05-21"/>
    <x v="6"/>
    <s v="North"/>
    <s v="Furniture"/>
    <s v="Bookcase"/>
    <s v="Bookcase Model-580"/>
    <n v="1808.77"/>
    <n v="10"/>
    <n v="0.05"/>
    <n v="226.68"/>
    <s v="Corporate"/>
  </r>
  <r>
    <s v="ORD-1460"/>
    <s v="2023-05-27"/>
    <x v="6"/>
    <s v="West"/>
    <s v="Office Supplies"/>
    <s v="Pen"/>
    <s v="Pen Model-665"/>
    <n v="1179.01"/>
    <n v="6"/>
    <n v="0"/>
    <n v="288.18"/>
    <s v="Home Office"/>
  </r>
  <r>
    <s v="ORD-1461"/>
    <s v="2023-09-12"/>
    <x v="3"/>
    <s v="West"/>
    <s v="Office Supplies"/>
    <s v="Stapler"/>
    <s v="Stapler Model-335"/>
    <n v="525.74"/>
    <n v="6"/>
    <n v="0.2"/>
    <n v="-12.23"/>
    <s v="Corporate"/>
  </r>
  <r>
    <s v="ORD-1462"/>
    <s v="2023-12-04"/>
    <x v="12"/>
    <s v="North"/>
    <s v="Furniture"/>
    <s v="Sofa"/>
    <s v="Sofa Model-225"/>
    <n v="1878.55"/>
    <n v="9"/>
    <n v="0"/>
    <n v="509.65"/>
    <s v="Corporate"/>
  </r>
  <r>
    <s v="ORD-1463"/>
    <s v="2023-11-22"/>
    <x v="9"/>
    <s v="West"/>
    <s v="Technology"/>
    <s v="Laptop"/>
    <s v="Laptop Model-122"/>
    <n v="1328.16"/>
    <n v="5"/>
    <n v="0"/>
    <n v="335.72"/>
    <s v="Consumer"/>
  </r>
  <r>
    <s v="ORD-1464"/>
    <s v="2023-07-25"/>
    <x v="5"/>
    <s v="East"/>
    <s v="Office Supplies"/>
    <s v="Pen"/>
    <s v="Pen Model-392"/>
    <n v="429.89"/>
    <n v="3"/>
    <n v="0.2"/>
    <n v="-12.98"/>
    <s v="Corporate"/>
  </r>
  <r>
    <s v="ORD-1465"/>
    <s v="2023-10-17"/>
    <x v="11"/>
    <s v="South"/>
    <s v="Office Supplies"/>
    <s v="Pen"/>
    <s v="Pen Model-819"/>
    <n v="1819.2"/>
    <n v="10"/>
    <n v="0.2"/>
    <n v="-185.52"/>
    <s v="Corporate"/>
  </r>
  <r>
    <s v="ORD-1466"/>
    <s v="2023-06-13"/>
    <x v="10"/>
    <s v="North"/>
    <s v="Furniture"/>
    <s v="Bookcase"/>
    <s v="Bookcase Model-411"/>
    <n v="181.53"/>
    <n v="6"/>
    <n v="0.15"/>
    <n v="14.89"/>
    <s v="Home Office"/>
  </r>
  <r>
    <s v="ORD-1467"/>
    <s v="2023-09-23"/>
    <x v="3"/>
    <s v="West"/>
    <s v="Furniture"/>
    <s v="Chair"/>
    <s v="Chair Model-319"/>
    <n v="386.19"/>
    <n v="4"/>
    <n v="0.2"/>
    <n v="34.08"/>
    <s v="Consumer"/>
  </r>
  <r>
    <s v="ORD-1468"/>
    <s v="2023-10-22"/>
    <x v="11"/>
    <s v="West"/>
    <s v="Office Supplies"/>
    <s v="Pen"/>
    <s v="Pen Model-996"/>
    <n v="852.67"/>
    <n v="10"/>
    <n v="0.2"/>
    <n v="-121.08"/>
    <s v="Consumer"/>
  </r>
  <r>
    <s v="ORD-1469"/>
    <s v="2023-08-11"/>
    <x v="7"/>
    <s v="South"/>
    <s v="Office Supplies"/>
    <s v="Binder"/>
    <s v="Binder Model-315"/>
    <n v="841.73"/>
    <n v="9"/>
    <n v="0.1"/>
    <n v="58.82"/>
    <s v="Home Office"/>
  </r>
  <r>
    <s v="ORD-1470"/>
    <s v="2023-07-29"/>
    <x v="5"/>
    <s v="North"/>
    <s v="Office Supplies"/>
    <s v="Binder"/>
    <s v="Binder Model-175"/>
    <n v="1172.8800000000001"/>
    <n v="3"/>
    <n v="0.2"/>
    <n v="-106.24"/>
    <s v="Corporate"/>
  </r>
  <r>
    <s v="ORD-1471"/>
    <s v="2023-06-14"/>
    <x v="10"/>
    <s v="South"/>
    <s v="Office Supplies"/>
    <s v="Binder"/>
    <s v="Binder Model-150"/>
    <n v="1199.68"/>
    <n v="3"/>
    <n v="0.05"/>
    <n v="1.85"/>
    <s v="Home Office"/>
  </r>
  <r>
    <s v="ORD-1472"/>
    <s v="2023-11-18"/>
    <x v="9"/>
    <s v="West"/>
    <s v="Office Supplies"/>
    <s v="Binder"/>
    <s v="Binder Model-921"/>
    <n v="1383.93"/>
    <n v="1"/>
    <n v="0.1"/>
    <n v="197.65"/>
    <s v="Corporate"/>
  </r>
  <r>
    <s v="ORD-1473"/>
    <s v="2023-08-12"/>
    <x v="7"/>
    <s v="North"/>
    <s v="Technology"/>
    <s v="Printer"/>
    <s v="Printer Model-829"/>
    <n v="584.36"/>
    <n v="8"/>
    <n v="0.1"/>
    <n v="17.88"/>
    <s v="Corporate"/>
  </r>
  <r>
    <s v="ORD-1474"/>
    <s v="2023-07-13"/>
    <x v="5"/>
    <s v="East"/>
    <s v="Furniture"/>
    <s v="Sofa"/>
    <s v="Sofa Model-221"/>
    <n v="1238.06"/>
    <n v="1"/>
    <n v="0.15"/>
    <n v="-6.23"/>
    <s v="Home Office"/>
  </r>
  <r>
    <s v="ORD-1475"/>
    <s v="2023-06-25"/>
    <x v="10"/>
    <s v="North"/>
    <s v="Furniture"/>
    <s v="Table"/>
    <s v="Table Model-669"/>
    <n v="1922.9"/>
    <n v="2"/>
    <n v="0.2"/>
    <n v="-56.27"/>
    <s v="Home Office"/>
  </r>
  <r>
    <s v="ORD-1476"/>
    <s v="2023-10-21"/>
    <x v="11"/>
    <s v="North"/>
    <s v="Office Supplies"/>
    <s v="Stapler"/>
    <s v="Stapler Model-836"/>
    <n v="475.44"/>
    <n v="4"/>
    <n v="0"/>
    <n v="133.97"/>
    <s v="Home Office"/>
  </r>
  <r>
    <s v="ORD-1477"/>
    <s v="2023-03-17"/>
    <x v="8"/>
    <s v="South"/>
    <s v="Office Supplies"/>
    <s v="Binder"/>
    <s v="Binder Model-912"/>
    <n v="1245.3499999999999"/>
    <n v="7"/>
    <n v="0.05"/>
    <n v="154.5"/>
    <s v="Home Office"/>
  </r>
  <r>
    <s v="ORD-1478"/>
    <s v="2023-02-07"/>
    <x v="4"/>
    <s v="South"/>
    <s v="Office Supplies"/>
    <s v="Paper"/>
    <s v="Paper Model-199"/>
    <n v="402.96"/>
    <n v="10"/>
    <n v="0.1"/>
    <n v="21"/>
    <s v="Consumer"/>
  </r>
  <r>
    <s v="ORD-1479"/>
    <s v="2023-05-23"/>
    <x v="6"/>
    <s v="South"/>
    <s v="Technology"/>
    <s v="Phone"/>
    <s v="Phone Model-842"/>
    <n v="1006.15"/>
    <n v="7"/>
    <n v="0.2"/>
    <n v="-143.04"/>
    <s v="Corporate"/>
  </r>
  <r>
    <s v="ORD-1480"/>
    <s v="2023-09-10"/>
    <x v="3"/>
    <s v="West"/>
    <s v="Office Supplies"/>
    <s v="Pen"/>
    <s v="Pen Model-340"/>
    <n v="1217.97"/>
    <n v="3"/>
    <n v="0.2"/>
    <n v="-120.05"/>
    <s v="Home Office"/>
  </r>
  <r>
    <s v="ORD-1481"/>
    <s v="2023-03-14"/>
    <x v="8"/>
    <s v="North"/>
    <s v="Furniture"/>
    <s v="Sofa"/>
    <s v="Sofa Model-341"/>
    <n v="495.96"/>
    <n v="8"/>
    <n v="0.2"/>
    <n v="34.409999999999997"/>
    <s v="Consumer"/>
  </r>
  <r>
    <s v="ORD-1482"/>
    <s v="2023-03-09"/>
    <x v="8"/>
    <s v="South"/>
    <s v="Technology"/>
    <s v="Printer"/>
    <s v="Printer Model-443"/>
    <n v="66.8"/>
    <n v="6"/>
    <n v="0.15"/>
    <n v="6.36"/>
    <s v="Corporate"/>
  </r>
  <r>
    <s v="ORD-1483"/>
    <s v="2023-07-02"/>
    <x v="5"/>
    <s v="East"/>
    <s v="Technology"/>
    <s v="Monitor"/>
    <s v="Monitor Model-975"/>
    <n v="1196.71"/>
    <n v="7"/>
    <n v="0.05"/>
    <n v="203.41"/>
    <s v="Corporate"/>
  </r>
  <r>
    <s v="ORD-1484"/>
    <s v="2023-09-11"/>
    <x v="3"/>
    <s v="East"/>
    <s v="Technology"/>
    <s v="Laptop"/>
    <s v="Laptop Model-730"/>
    <n v="1036.6099999999999"/>
    <n v="1"/>
    <n v="0.2"/>
    <n v="58.99"/>
    <s v="Home Office"/>
  </r>
  <r>
    <s v="ORD-1485"/>
    <s v="2023-11-01"/>
    <x v="9"/>
    <s v="East"/>
    <s v="Furniture"/>
    <s v="Table"/>
    <s v="Table Model-241"/>
    <n v="1086.3399999999999"/>
    <n v="5"/>
    <n v="0.1"/>
    <n v="150.29"/>
    <s v="Home Office"/>
  </r>
  <r>
    <s v="ORD-1486"/>
    <s v="2023-04-24"/>
    <x v="1"/>
    <s v="West"/>
    <s v="Office Supplies"/>
    <s v="Paper"/>
    <s v="Paper Model-173"/>
    <n v="640.57000000000005"/>
    <n v="4"/>
    <n v="0.15"/>
    <n v="41.18"/>
    <s v="Home Office"/>
  </r>
  <r>
    <s v="ORD-1487"/>
    <s v="2023-12-06"/>
    <x v="12"/>
    <s v="West"/>
    <s v="Furniture"/>
    <s v="Table"/>
    <s v="Table Model-123"/>
    <n v="1996"/>
    <n v="10"/>
    <n v="0.1"/>
    <n v="42.11"/>
    <s v="Home Office"/>
  </r>
  <r>
    <s v="ORD-1488"/>
    <s v="2023-05-05"/>
    <x v="6"/>
    <s v="West"/>
    <s v="Technology"/>
    <s v="Monitor"/>
    <s v="Monitor Model-974"/>
    <n v="529.95000000000005"/>
    <n v="7"/>
    <n v="0.15"/>
    <n v="48.62"/>
    <s v="Consumer"/>
  </r>
  <r>
    <s v="ORD-1489"/>
    <s v="2023-04-11"/>
    <x v="1"/>
    <s v="East"/>
    <s v="Furniture"/>
    <s v="Sofa"/>
    <s v="Sofa Model-341"/>
    <n v="536.98"/>
    <n v="6"/>
    <n v="0.15"/>
    <n v="7.31"/>
    <s v="Home Office"/>
  </r>
  <r>
    <s v="ORD-1490"/>
    <s v="2023-10-18"/>
    <x v="11"/>
    <s v="North"/>
    <s v="Office Supplies"/>
    <s v="Binder"/>
    <s v="Binder Model-263"/>
    <n v="1225.07"/>
    <n v="4"/>
    <n v="0"/>
    <n v="68.69"/>
    <s v="Corporate"/>
  </r>
  <r>
    <s v="ORD-1491"/>
    <s v="2023-04-05"/>
    <x v="1"/>
    <s v="South"/>
    <s v="Office Supplies"/>
    <s v="Stapler"/>
    <s v="Stapler Model-331"/>
    <n v="1531.2"/>
    <n v="5"/>
    <n v="0"/>
    <n v="276.22000000000003"/>
    <s v="Home Office"/>
  </r>
  <r>
    <s v="ORD-1492"/>
    <s v="2023-04-12"/>
    <x v="1"/>
    <s v="North"/>
    <s v="Technology"/>
    <s v="Phone"/>
    <s v="Phone Model-391"/>
    <n v="499.1"/>
    <n v="1"/>
    <n v="0"/>
    <n v="54.55"/>
    <s v="Home Office"/>
  </r>
  <r>
    <s v="ORD-1493"/>
    <s v="2023-08-03"/>
    <x v="7"/>
    <s v="West"/>
    <s v="Technology"/>
    <s v="Phone"/>
    <s v="Phone Model-580"/>
    <n v="361.92"/>
    <n v="3"/>
    <n v="0"/>
    <n v="85.65"/>
    <s v="Corporate"/>
  </r>
  <r>
    <s v="ORD-1494"/>
    <s v="2023-05-05"/>
    <x v="6"/>
    <s v="West"/>
    <s v="Furniture"/>
    <s v="Table"/>
    <s v="Table Model-835"/>
    <n v="398.19"/>
    <n v="1"/>
    <n v="0.05"/>
    <n v="92.83"/>
    <s v="Consumer"/>
  </r>
  <r>
    <s v="ORD-1495"/>
    <s v="2023-03-19"/>
    <x v="8"/>
    <s v="South"/>
    <s v="Furniture"/>
    <s v="Chair"/>
    <s v="Chair Model-149"/>
    <n v="1223.58"/>
    <n v="1"/>
    <n v="0.05"/>
    <n v="86.93"/>
    <s v="Corporate"/>
  </r>
  <r>
    <s v="ORD-1496"/>
    <s v="2023-02-28"/>
    <x v="4"/>
    <s v="South"/>
    <s v="Technology"/>
    <s v="Printer"/>
    <s v="Printer Model-410"/>
    <n v="900.25"/>
    <n v="2"/>
    <n v="0.1"/>
    <n v="-7.43"/>
    <s v="Corporate"/>
  </r>
  <r>
    <s v="ORD-1497"/>
    <s v="2023-11-24"/>
    <x v="9"/>
    <s v="East"/>
    <s v="Furniture"/>
    <s v="Chair"/>
    <s v="Chair Model-741"/>
    <n v="1152.19"/>
    <n v="5"/>
    <n v="0.15"/>
    <n v="65.78"/>
    <s v="Corporate"/>
  </r>
  <r>
    <s v="ORD-1498"/>
    <s v="2023-11-16"/>
    <x v="9"/>
    <s v="South"/>
    <s v="Office Supplies"/>
    <s v="Stapler"/>
    <s v="Stapler Model-406"/>
    <n v="329.15"/>
    <n v="5"/>
    <n v="0"/>
    <n v="85.15"/>
    <s v="Corporate"/>
  </r>
  <r>
    <s v="ORD-1499"/>
    <s v="2023-08-03"/>
    <x v="7"/>
    <s v="West"/>
    <s v="Office Supplies"/>
    <s v="Paper"/>
    <s v="Paper Model-424"/>
    <n v="1306.75"/>
    <n v="8"/>
    <n v="0.1"/>
    <n v="47.52"/>
    <s v="Corporate"/>
  </r>
  <r>
    <s v="ORD-1500"/>
    <s v="2023-12-03"/>
    <x v="12"/>
    <s v="East"/>
    <s v="Technology"/>
    <s v="Laptop"/>
    <s v="Laptop Model-867"/>
    <n v="1153.7"/>
    <n v="9"/>
    <n v="0.05"/>
    <n v="108.22"/>
    <s v="Home Office"/>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2023-06-17"/>
    <x v="0"/>
    <x v="0"/>
    <x v="0"/>
    <x v="0"/>
    <x v="0"/>
    <x v="0"/>
    <n v="852.92"/>
    <n v="9"/>
    <n v="0.05"/>
    <n v="86.37"/>
    <x v="0"/>
  </r>
  <r>
    <s v="2023-04-05"/>
    <x v="1"/>
    <x v="1"/>
    <x v="1"/>
    <x v="1"/>
    <x v="1"/>
    <x v="1"/>
    <n v="88.92"/>
    <n v="6"/>
    <n v="0"/>
    <n v="31.33"/>
    <x v="1"/>
  </r>
  <r>
    <s v="2023-01-24"/>
    <x v="2"/>
    <x v="2"/>
    <x v="1"/>
    <x v="1"/>
    <x v="2"/>
    <x v="2"/>
    <n v="614.25"/>
    <n v="4"/>
    <n v="0.15"/>
    <n v="91.85"/>
    <x v="0"/>
  </r>
  <r>
    <s v="2023-09-14"/>
    <x v="3"/>
    <x v="1"/>
    <x v="0"/>
    <x v="2"/>
    <x v="3"/>
    <x v="3"/>
    <n v="582.65"/>
    <n v="1"/>
    <n v="0.1"/>
    <n v="86.37"/>
    <x v="0"/>
  </r>
  <r>
    <s v="2023-02-09"/>
    <x v="4"/>
    <x v="2"/>
    <x v="0"/>
    <x v="0"/>
    <x v="4"/>
    <x v="4"/>
    <n v="1667.3100000000002"/>
    <n v="6"/>
    <n v="0.15"/>
    <n v="252.83"/>
    <x v="2"/>
  </r>
  <r>
    <s v="2023-07-18"/>
    <x v="5"/>
    <x v="1"/>
    <x v="1"/>
    <x v="3"/>
    <x v="5"/>
    <x v="5"/>
    <n v="805.6099999999999"/>
    <n v="3"/>
    <n v="0.05"/>
    <n v="252.93"/>
    <x v="1"/>
  </r>
  <r>
    <s v="2023-07-24"/>
    <x v="5"/>
    <x v="3"/>
    <x v="2"/>
    <x v="4"/>
    <x v="6"/>
    <x v="6"/>
    <n v="1278.4499999999998"/>
    <n v="10"/>
    <n v="0.15"/>
    <n v="-107.33"/>
    <x v="0"/>
  </r>
  <r>
    <s v="2023-07-20"/>
    <x v="5"/>
    <x v="1"/>
    <x v="0"/>
    <x v="2"/>
    <x v="7"/>
    <x v="7"/>
    <n v="1040.2"/>
    <n v="1"/>
    <n v="0.1"/>
    <n v="4.32"/>
    <x v="0"/>
  </r>
  <r>
    <s v="2023-05-05"/>
    <x v="6"/>
    <x v="1"/>
    <x v="1"/>
    <x v="5"/>
    <x v="8"/>
    <x v="8"/>
    <n v="691.52"/>
    <n v="3"/>
    <n v="0.15"/>
    <n v="-47.44"/>
    <x v="1"/>
  </r>
  <r>
    <s v="2023-08-03"/>
    <x v="7"/>
    <x v="1"/>
    <x v="1"/>
    <x v="1"/>
    <x v="9"/>
    <x v="9"/>
    <n v="740.16"/>
    <n v="7"/>
    <n v="0.1"/>
    <n v="114.35"/>
    <x v="0"/>
  </r>
  <r>
    <s v="2023-03-25"/>
    <x v="8"/>
    <x v="2"/>
    <x v="1"/>
    <x v="6"/>
    <x v="10"/>
    <x v="10"/>
    <n v="619.27"/>
    <n v="8"/>
    <n v="0.1"/>
    <n v="-14.51"/>
    <x v="1"/>
  </r>
  <r>
    <s v="2023-09-24"/>
    <x v="3"/>
    <x v="0"/>
    <x v="1"/>
    <x v="3"/>
    <x v="11"/>
    <x v="11"/>
    <n v="1687.91"/>
    <n v="4"/>
    <n v="0.2"/>
    <n v="95.72"/>
    <x v="2"/>
  </r>
  <r>
    <s v="2023-11-27"/>
    <x v="9"/>
    <x v="3"/>
    <x v="2"/>
    <x v="7"/>
    <x v="12"/>
    <x v="12"/>
    <n v="682.66"/>
    <n v="3"/>
    <n v="0"/>
    <n v="204.65"/>
    <x v="2"/>
  </r>
  <r>
    <s v="2023-09-04"/>
    <x v="3"/>
    <x v="3"/>
    <x v="2"/>
    <x v="8"/>
    <x v="13"/>
    <x v="13"/>
    <n v="1929.78"/>
    <n v="8"/>
    <n v="0.2"/>
    <n v="-42"/>
    <x v="0"/>
  </r>
  <r>
    <s v="2023-06-04"/>
    <x v="0"/>
    <x v="3"/>
    <x v="2"/>
    <x v="7"/>
    <x v="14"/>
    <x v="14"/>
    <n v="1091.5999999999999"/>
    <n v="2"/>
    <n v="0.05"/>
    <n v="50.38"/>
    <x v="2"/>
  </r>
  <r>
    <s v="2023-09-27"/>
    <x v="3"/>
    <x v="2"/>
    <x v="2"/>
    <x v="8"/>
    <x v="15"/>
    <x v="15"/>
    <n v="118.03"/>
    <n v="7"/>
    <n v="0.1"/>
    <n v="24.1"/>
    <x v="1"/>
  </r>
  <r>
    <s v="2023-03-02"/>
    <x v="8"/>
    <x v="1"/>
    <x v="2"/>
    <x v="9"/>
    <x v="16"/>
    <x v="16"/>
    <n v="316.87"/>
    <n v="10"/>
    <n v="0.05"/>
    <n v="3.82"/>
    <x v="2"/>
  </r>
  <r>
    <s v="2023-07-28"/>
    <x v="5"/>
    <x v="1"/>
    <x v="0"/>
    <x v="10"/>
    <x v="17"/>
    <x v="17"/>
    <n v="456.44"/>
    <n v="9"/>
    <n v="0.15"/>
    <n v="-15.99"/>
    <x v="0"/>
  </r>
  <r>
    <s v="2023-07-31"/>
    <x v="5"/>
    <x v="2"/>
    <x v="2"/>
    <x v="8"/>
    <x v="18"/>
    <x v="18"/>
    <n v="480.96000000000004"/>
    <n v="9"/>
    <n v="0.1"/>
    <n v="64.61"/>
    <x v="2"/>
  </r>
  <r>
    <s v="2023-04-23"/>
    <x v="1"/>
    <x v="3"/>
    <x v="2"/>
    <x v="4"/>
    <x v="19"/>
    <x v="19"/>
    <n v="1824.39"/>
    <n v="3"/>
    <n v="0.2"/>
    <n v="133.24"/>
    <x v="0"/>
  </r>
  <r>
    <s v="2023-10-23"/>
    <x v="10"/>
    <x v="0"/>
    <x v="1"/>
    <x v="6"/>
    <x v="20"/>
    <x v="20"/>
    <n v="119.22"/>
    <n v="1"/>
    <n v="0.2"/>
    <n v="-8.59"/>
    <x v="2"/>
  </r>
  <r>
    <s v="2023-06-20"/>
    <x v="0"/>
    <x v="2"/>
    <x v="1"/>
    <x v="3"/>
    <x v="21"/>
    <x v="21"/>
    <n v="1027.95"/>
    <n v="10"/>
    <n v="0.05"/>
    <n v="33.81"/>
    <x v="1"/>
  </r>
  <r>
    <s v="2023-08-10"/>
    <x v="7"/>
    <x v="0"/>
    <x v="1"/>
    <x v="5"/>
    <x v="22"/>
    <x v="22"/>
    <n v="1106.01"/>
    <n v="6"/>
    <n v="0.15"/>
    <n v="187.33"/>
    <x v="0"/>
  </r>
  <r>
    <s v="2023-10-28"/>
    <x v="10"/>
    <x v="3"/>
    <x v="2"/>
    <x v="4"/>
    <x v="23"/>
    <x v="23"/>
    <n v="1101.52"/>
    <n v="6"/>
    <n v="0.15"/>
    <n v="113.79"/>
    <x v="1"/>
  </r>
  <r>
    <s v="2023-06-28"/>
    <x v="0"/>
    <x v="0"/>
    <x v="0"/>
    <x v="2"/>
    <x v="24"/>
    <x v="24"/>
    <n v="461.02"/>
    <n v="1"/>
    <n v="0.05"/>
    <n v="70.010000000000005"/>
    <x v="1"/>
  </r>
  <r>
    <s v="2023-02-03"/>
    <x v="4"/>
    <x v="0"/>
    <x v="1"/>
    <x v="3"/>
    <x v="25"/>
    <x v="25"/>
    <n v="2080.4"/>
    <n v="5"/>
    <n v="0.15"/>
    <n v="-89.79"/>
    <x v="1"/>
  </r>
  <r>
    <s v="2023-02-22"/>
    <x v="4"/>
    <x v="1"/>
    <x v="1"/>
    <x v="3"/>
    <x v="26"/>
    <x v="26"/>
    <n v="1095.69"/>
    <n v="9"/>
    <n v="0.1"/>
    <n v="0.96"/>
    <x v="1"/>
  </r>
  <r>
    <s v="2023-12-27"/>
    <x v="11"/>
    <x v="3"/>
    <x v="2"/>
    <x v="7"/>
    <x v="27"/>
    <x v="27"/>
    <n v="590.32000000000005"/>
    <n v="10"/>
    <n v="0.2"/>
    <n v="-72.709999999999994"/>
    <x v="0"/>
  </r>
  <r>
    <s v="2023-03-01"/>
    <x v="8"/>
    <x v="3"/>
    <x v="1"/>
    <x v="1"/>
    <x v="28"/>
    <x v="28"/>
    <n v="172.35999999999999"/>
    <n v="8"/>
    <n v="0.2"/>
    <n v="-19.48"/>
    <x v="0"/>
  </r>
  <r>
    <s v="2023-08-04"/>
    <x v="7"/>
    <x v="3"/>
    <x v="0"/>
    <x v="10"/>
    <x v="29"/>
    <x v="29"/>
    <n v="1371.93"/>
    <n v="2"/>
    <n v="0"/>
    <n v="370.73"/>
    <x v="0"/>
  </r>
  <r>
    <s v="2023-01-14"/>
    <x v="2"/>
    <x v="1"/>
    <x v="0"/>
    <x v="11"/>
    <x v="30"/>
    <x v="30"/>
    <n v="501.99"/>
    <n v="10"/>
    <n v="0.1"/>
    <n v="65.239999999999995"/>
    <x v="0"/>
  </r>
  <r>
    <s v="2023-06-07"/>
    <x v="0"/>
    <x v="1"/>
    <x v="0"/>
    <x v="0"/>
    <x v="31"/>
    <x v="31"/>
    <n v="475.26"/>
    <n v="10"/>
    <n v="0.05"/>
    <n v="136.63999999999999"/>
    <x v="2"/>
  </r>
  <r>
    <s v="2023-04-13"/>
    <x v="1"/>
    <x v="2"/>
    <x v="1"/>
    <x v="6"/>
    <x v="32"/>
    <x v="32"/>
    <n v="1963.38"/>
    <n v="3"/>
    <n v="0.2"/>
    <n v="-123.42"/>
    <x v="0"/>
  </r>
  <r>
    <s v="2023-11-18"/>
    <x v="9"/>
    <x v="0"/>
    <x v="2"/>
    <x v="4"/>
    <x v="33"/>
    <x v="33"/>
    <n v="1970.61"/>
    <n v="3"/>
    <n v="0.15"/>
    <n v="-174.78"/>
    <x v="1"/>
  </r>
  <r>
    <s v="2023-03-19"/>
    <x v="8"/>
    <x v="1"/>
    <x v="0"/>
    <x v="2"/>
    <x v="34"/>
    <x v="34"/>
    <n v="2054.06"/>
    <n v="8"/>
    <n v="0.15"/>
    <n v="-160.47"/>
    <x v="0"/>
  </r>
  <r>
    <s v="2023-08-13"/>
    <x v="7"/>
    <x v="2"/>
    <x v="0"/>
    <x v="10"/>
    <x v="35"/>
    <x v="35"/>
    <n v="874.22"/>
    <n v="3"/>
    <n v="0.1"/>
    <n v="-26.89"/>
    <x v="1"/>
  </r>
  <r>
    <s v="2023-06-23"/>
    <x v="0"/>
    <x v="2"/>
    <x v="1"/>
    <x v="6"/>
    <x v="36"/>
    <x v="36"/>
    <n v="1778.4699999999998"/>
    <n v="9"/>
    <n v="0.15"/>
    <n v="-1.36"/>
    <x v="1"/>
  </r>
  <r>
    <s v="2023-03-03"/>
    <x v="8"/>
    <x v="1"/>
    <x v="2"/>
    <x v="8"/>
    <x v="37"/>
    <x v="37"/>
    <n v="1120.54"/>
    <n v="3"/>
    <n v="0"/>
    <n v="316.05"/>
    <x v="1"/>
  </r>
  <r>
    <s v="2023-07-22"/>
    <x v="5"/>
    <x v="2"/>
    <x v="0"/>
    <x v="0"/>
    <x v="38"/>
    <x v="38"/>
    <n v="700.59999999999991"/>
    <n v="8"/>
    <n v="0.15"/>
    <n v="118.82"/>
    <x v="2"/>
  </r>
  <r>
    <s v="2023-12-21"/>
    <x v="11"/>
    <x v="3"/>
    <x v="1"/>
    <x v="6"/>
    <x v="39"/>
    <x v="39"/>
    <n v="1611.4099999999999"/>
    <n v="1"/>
    <n v="0.2"/>
    <n v="-200.38"/>
    <x v="2"/>
  </r>
  <r>
    <s v="2023-08-11"/>
    <x v="7"/>
    <x v="1"/>
    <x v="1"/>
    <x v="1"/>
    <x v="40"/>
    <x v="40"/>
    <n v="1168.43"/>
    <n v="5"/>
    <n v="0.1"/>
    <n v="43.72"/>
    <x v="2"/>
  </r>
  <r>
    <s v="2023-06-14"/>
    <x v="0"/>
    <x v="1"/>
    <x v="1"/>
    <x v="6"/>
    <x v="41"/>
    <x v="41"/>
    <n v="1050.75"/>
    <n v="3"/>
    <n v="0.05"/>
    <n v="344.47"/>
    <x v="2"/>
  </r>
  <r>
    <s v="2023-12-09"/>
    <x v="11"/>
    <x v="2"/>
    <x v="2"/>
    <x v="7"/>
    <x v="42"/>
    <x v="42"/>
    <n v="874.49"/>
    <n v="2"/>
    <n v="0.1"/>
    <n v="138.37"/>
    <x v="1"/>
  </r>
  <r>
    <s v="2023-07-31"/>
    <x v="5"/>
    <x v="1"/>
    <x v="1"/>
    <x v="1"/>
    <x v="43"/>
    <x v="43"/>
    <n v="1728.48"/>
    <n v="3"/>
    <n v="0.2"/>
    <n v="132.72999999999999"/>
    <x v="2"/>
  </r>
  <r>
    <s v="2023-03-06"/>
    <x v="8"/>
    <x v="3"/>
    <x v="2"/>
    <x v="4"/>
    <x v="44"/>
    <x v="44"/>
    <n v="1272.6400000000001"/>
    <n v="8"/>
    <n v="0.15"/>
    <n v="-51.22"/>
    <x v="2"/>
  </r>
  <r>
    <s v="2023-07-11"/>
    <x v="5"/>
    <x v="2"/>
    <x v="0"/>
    <x v="11"/>
    <x v="45"/>
    <x v="45"/>
    <n v="771.88"/>
    <n v="3"/>
    <n v="0.15"/>
    <n v="2.19"/>
    <x v="1"/>
  </r>
  <r>
    <s v="2023-10-22"/>
    <x v="10"/>
    <x v="2"/>
    <x v="2"/>
    <x v="4"/>
    <x v="46"/>
    <x v="46"/>
    <n v="1592.51"/>
    <n v="9"/>
    <n v="0.2"/>
    <n v="-101.89"/>
    <x v="1"/>
  </r>
  <r>
    <s v="2023-11-25"/>
    <x v="9"/>
    <x v="3"/>
    <x v="0"/>
    <x v="0"/>
    <x v="47"/>
    <x v="47"/>
    <n v="185.38"/>
    <n v="5"/>
    <n v="0.05"/>
    <n v="3.51"/>
    <x v="1"/>
  </r>
  <r>
    <s v="2023-04-01"/>
    <x v="1"/>
    <x v="0"/>
    <x v="2"/>
    <x v="8"/>
    <x v="48"/>
    <x v="48"/>
    <n v="1246.93"/>
    <n v="8"/>
    <n v="0"/>
    <n v="330.46"/>
    <x v="1"/>
  </r>
  <r>
    <s v="2023-05-12"/>
    <x v="6"/>
    <x v="0"/>
    <x v="1"/>
    <x v="5"/>
    <x v="49"/>
    <x v="49"/>
    <n v="952.90000000000009"/>
    <n v="2"/>
    <n v="0"/>
    <n v="350.3"/>
    <x v="2"/>
  </r>
  <r>
    <s v="2023-06-22"/>
    <x v="0"/>
    <x v="2"/>
    <x v="0"/>
    <x v="10"/>
    <x v="50"/>
    <x v="50"/>
    <n v="1209.93"/>
    <n v="4"/>
    <n v="0.15"/>
    <n v="-3.77"/>
    <x v="2"/>
  </r>
  <r>
    <s v="2023-07-24"/>
    <x v="5"/>
    <x v="0"/>
    <x v="0"/>
    <x v="11"/>
    <x v="51"/>
    <x v="51"/>
    <n v="1213"/>
    <n v="3"/>
    <n v="0.1"/>
    <n v="-8.4700000000000006"/>
    <x v="1"/>
  </r>
  <r>
    <s v="2023-10-19"/>
    <x v="10"/>
    <x v="3"/>
    <x v="0"/>
    <x v="2"/>
    <x v="52"/>
    <x v="52"/>
    <n v="1913.02"/>
    <n v="3"/>
    <n v="0.2"/>
    <n v="82.63"/>
    <x v="0"/>
  </r>
  <r>
    <s v="2023-01-14"/>
    <x v="2"/>
    <x v="0"/>
    <x v="0"/>
    <x v="11"/>
    <x v="53"/>
    <x v="53"/>
    <n v="362.29999999999995"/>
    <n v="7"/>
    <n v="0"/>
    <n v="26.23"/>
    <x v="2"/>
  </r>
  <r>
    <s v="2023-05-18"/>
    <x v="6"/>
    <x v="3"/>
    <x v="1"/>
    <x v="6"/>
    <x v="54"/>
    <x v="54"/>
    <n v="70.05"/>
    <n v="3"/>
    <n v="0.2"/>
    <n v="-7.05"/>
    <x v="0"/>
  </r>
  <r>
    <s v="2023-12-12"/>
    <x v="11"/>
    <x v="1"/>
    <x v="1"/>
    <x v="5"/>
    <x v="55"/>
    <x v="55"/>
    <n v="683.17000000000007"/>
    <n v="8"/>
    <n v="0"/>
    <n v="279.27999999999997"/>
    <x v="2"/>
  </r>
  <r>
    <s v="2023-08-05"/>
    <x v="7"/>
    <x v="2"/>
    <x v="0"/>
    <x v="10"/>
    <x v="56"/>
    <x v="56"/>
    <n v="324.37"/>
    <n v="8"/>
    <n v="0"/>
    <n v="46.93"/>
    <x v="2"/>
  </r>
  <r>
    <s v="2023-11-17"/>
    <x v="9"/>
    <x v="2"/>
    <x v="0"/>
    <x v="11"/>
    <x v="57"/>
    <x v="57"/>
    <n v="1730.38"/>
    <n v="4"/>
    <n v="0.2"/>
    <n v="-201.17"/>
    <x v="1"/>
  </r>
  <r>
    <s v="2023-09-17"/>
    <x v="3"/>
    <x v="3"/>
    <x v="1"/>
    <x v="6"/>
    <x v="58"/>
    <x v="58"/>
    <n v="583.45999999999992"/>
    <n v="4"/>
    <n v="0"/>
    <n v="140.35"/>
    <x v="2"/>
  </r>
  <r>
    <s v="2023-08-31"/>
    <x v="7"/>
    <x v="1"/>
    <x v="2"/>
    <x v="7"/>
    <x v="59"/>
    <x v="59"/>
    <n v="848.73"/>
    <n v="7"/>
    <n v="0.05"/>
    <n v="228.8"/>
    <x v="2"/>
  </r>
  <r>
    <s v="2023-03-08"/>
    <x v="8"/>
    <x v="1"/>
    <x v="0"/>
    <x v="0"/>
    <x v="60"/>
    <x v="60"/>
    <n v="1720.68"/>
    <n v="9"/>
    <n v="0.1"/>
    <n v="90.22"/>
    <x v="1"/>
  </r>
  <r>
    <s v="2023-06-25"/>
    <x v="0"/>
    <x v="1"/>
    <x v="2"/>
    <x v="7"/>
    <x v="61"/>
    <x v="61"/>
    <n v="1649.42"/>
    <n v="5"/>
    <n v="0.15"/>
    <n v="35.86"/>
    <x v="2"/>
  </r>
  <r>
    <s v="2023-02-12"/>
    <x v="4"/>
    <x v="0"/>
    <x v="2"/>
    <x v="8"/>
    <x v="62"/>
    <x v="62"/>
    <n v="1476.96"/>
    <n v="2"/>
    <n v="0.1"/>
    <n v="339.21"/>
    <x v="0"/>
  </r>
  <r>
    <s v="2023-10-12"/>
    <x v="10"/>
    <x v="0"/>
    <x v="2"/>
    <x v="8"/>
    <x v="63"/>
    <x v="63"/>
    <n v="1762.59"/>
    <n v="1"/>
    <n v="0.15"/>
    <n v="-9.1"/>
    <x v="1"/>
  </r>
  <r>
    <s v="2023-12-18"/>
    <x v="11"/>
    <x v="0"/>
    <x v="1"/>
    <x v="6"/>
    <x v="64"/>
    <x v="64"/>
    <n v="604.16"/>
    <n v="9"/>
    <n v="0"/>
    <n v="123.08"/>
    <x v="1"/>
  </r>
  <r>
    <s v="2023-10-15"/>
    <x v="10"/>
    <x v="0"/>
    <x v="1"/>
    <x v="6"/>
    <x v="65"/>
    <x v="65"/>
    <n v="1560.89"/>
    <n v="10"/>
    <n v="0.1"/>
    <n v="63.09"/>
    <x v="2"/>
  </r>
  <r>
    <s v="2023-03-28"/>
    <x v="8"/>
    <x v="3"/>
    <x v="0"/>
    <x v="11"/>
    <x v="66"/>
    <x v="66"/>
    <n v="1233.8300000000002"/>
    <n v="5"/>
    <n v="0.2"/>
    <n v="32.57"/>
    <x v="0"/>
  </r>
  <r>
    <s v="2023-10-13"/>
    <x v="10"/>
    <x v="3"/>
    <x v="2"/>
    <x v="9"/>
    <x v="67"/>
    <x v="67"/>
    <n v="58.919999999999995"/>
    <n v="5"/>
    <n v="0.05"/>
    <n v="12.65"/>
    <x v="0"/>
  </r>
  <r>
    <s v="2023-09-22"/>
    <x v="3"/>
    <x v="1"/>
    <x v="0"/>
    <x v="0"/>
    <x v="68"/>
    <x v="68"/>
    <n v="1529.27"/>
    <n v="3"/>
    <n v="0.05"/>
    <n v="328.66"/>
    <x v="2"/>
  </r>
  <r>
    <s v="2023-12-20"/>
    <x v="11"/>
    <x v="1"/>
    <x v="2"/>
    <x v="9"/>
    <x v="69"/>
    <x v="69"/>
    <n v="130.39999999999998"/>
    <n v="10"/>
    <n v="0"/>
    <n v="31.64"/>
    <x v="0"/>
  </r>
  <r>
    <s v="2023-03-07"/>
    <x v="8"/>
    <x v="2"/>
    <x v="2"/>
    <x v="4"/>
    <x v="70"/>
    <x v="70"/>
    <n v="1465.1899999999998"/>
    <n v="5"/>
    <n v="0.1"/>
    <n v="220.66"/>
    <x v="0"/>
  </r>
  <r>
    <s v="2023-08-30"/>
    <x v="7"/>
    <x v="3"/>
    <x v="1"/>
    <x v="6"/>
    <x v="71"/>
    <x v="71"/>
    <n v="295.38"/>
    <n v="2"/>
    <n v="0"/>
    <n v="37.75"/>
    <x v="2"/>
  </r>
  <r>
    <s v="2023-11-15"/>
    <x v="9"/>
    <x v="1"/>
    <x v="2"/>
    <x v="9"/>
    <x v="72"/>
    <x v="72"/>
    <n v="1226.8699999999999"/>
    <n v="2"/>
    <n v="0.05"/>
    <n v="358.16"/>
    <x v="2"/>
  </r>
  <r>
    <s v="2023-05-29"/>
    <x v="6"/>
    <x v="2"/>
    <x v="1"/>
    <x v="1"/>
    <x v="73"/>
    <x v="73"/>
    <n v="1316.6799999999998"/>
    <n v="3"/>
    <n v="0.1"/>
    <n v="174.89"/>
    <x v="1"/>
  </r>
  <r>
    <s v="2023-09-30"/>
    <x v="3"/>
    <x v="2"/>
    <x v="2"/>
    <x v="8"/>
    <x v="74"/>
    <x v="74"/>
    <n v="869.2299999999999"/>
    <n v="5"/>
    <n v="0.1"/>
    <n v="-38.93"/>
    <x v="1"/>
  </r>
  <r>
    <s v="2023-04-28"/>
    <x v="1"/>
    <x v="0"/>
    <x v="2"/>
    <x v="8"/>
    <x v="75"/>
    <x v="75"/>
    <n v="533.03000000000009"/>
    <n v="5"/>
    <n v="0"/>
    <n v="150.41999999999999"/>
    <x v="1"/>
  </r>
  <r>
    <s v="2023-02-07"/>
    <x v="4"/>
    <x v="0"/>
    <x v="0"/>
    <x v="11"/>
    <x v="76"/>
    <x v="76"/>
    <n v="1508.54"/>
    <n v="3"/>
    <n v="0.1"/>
    <n v="71.62"/>
    <x v="1"/>
  </r>
  <r>
    <s v="2023-03-03"/>
    <x v="8"/>
    <x v="1"/>
    <x v="2"/>
    <x v="4"/>
    <x v="77"/>
    <x v="77"/>
    <n v="452.57"/>
    <n v="8"/>
    <n v="0.15"/>
    <n v="-15.09"/>
    <x v="0"/>
  </r>
  <r>
    <s v="2023-06-23"/>
    <x v="0"/>
    <x v="1"/>
    <x v="1"/>
    <x v="3"/>
    <x v="78"/>
    <x v="78"/>
    <n v="463.68999999999994"/>
    <n v="1"/>
    <n v="0.15"/>
    <n v="78.489999999999995"/>
    <x v="1"/>
  </r>
  <r>
    <s v="2023-04-26"/>
    <x v="1"/>
    <x v="2"/>
    <x v="2"/>
    <x v="4"/>
    <x v="79"/>
    <x v="79"/>
    <n v="635.82000000000005"/>
    <n v="5"/>
    <n v="0.2"/>
    <n v="-81.36"/>
    <x v="1"/>
  </r>
  <r>
    <s v="2023-11-04"/>
    <x v="9"/>
    <x v="3"/>
    <x v="2"/>
    <x v="9"/>
    <x v="69"/>
    <x v="80"/>
    <n v="1347.1399999999999"/>
    <n v="9"/>
    <n v="0.05"/>
    <n v="419.7"/>
    <x v="1"/>
  </r>
  <r>
    <s v="2023-12-25"/>
    <x v="11"/>
    <x v="3"/>
    <x v="2"/>
    <x v="8"/>
    <x v="80"/>
    <x v="81"/>
    <n v="800.17"/>
    <n v="10"/>
    <n v="0"/>
    <n v="114.08"/>
    <x v="1"/>
  </r>
  <r>
    <s v="2023-08-08"/>
    <x v="7"/>
    <x v="2"/>
    <x v="1"/>
    <x v="3"/>
    <x v="81"/>
    <x v="82"/>
    <n v="1621.52"/>
    <n v="4"/>
    <n v="0.2"/>
    <n v="62.1"/>
    <x v="0"/>
  </r>
  <r>
    <s v="2023-01-24"/>
    <x v="2"/>
    <x v="3"/>
    <x v="0"/>
    <x v="10"/>
    <x v="82"/>
    <x v="83"/>
    <n v="1847.97"/>
    <n v="1"/>
    <n v="0.1"/>
    <n v="-84.18"/>
    <x v="0"/>
  </r>
  <r>
    <s v="2023-01-09"/>
    <x v="2"/>
    <x v="1"/>
    <x v="0"/>
    <x v="10"/>
    <x v="83"/>
    <x v="84"/>
    <n v="61.730000000000004"/>
    <n v="10"/>
    <n v="0.15"/>
    <n v="3.08"/>
    <x v="2"/>
  </r>
  <r>
    <s v="2023-01-14"/>
    <x v="2"/>
    <x v="3"/>
    <x v="0"/>
    <x v="11"/>
    <x v="84"/>
    <x v="85"/>
    <n v="1794.02"/>
    <n v="3"/>
    <n v="0.15"/>
    <n v="197.67"/>
    <x v="2"/>
  </r>
  <r>
    <s v="2023-04-29"/>
    <x v="1"/>
    <x v="1"/>
    <x v="0"/>
    <x v="0"/>
    <x v="85"/>
    <x v="86"/>
    <n v="1280.4100000000001"/>
    <n v="7"/>
    <n v="0"/>
    <n v="86.8"/>
    <x v="1"/>
  </r>
  <r>
    <s v="2023-12-07"/>
    <x v="11"/>
    <x v="1"/>
    <x v="1"/>
    <x v="1"/>
    <x v="86"/>
    <x v="87"/>
    <n v="1727.93"/>
    <n v="4"/>
    <n v="0.15"/>
    <n v="27.56"/>
    <x v="2"/>
  </r>
  <r>
    <s v="2023-07-13"/>
    <x v="5"/>
    <x v="0"/>
    <x v="2"/>
    <x v="7"/>
    <x v="87"/>
    <x v="88"/>
    <n v="1484.48"/>
    <n v="9"/>
    <n v="0.15"/>
    <n v="-42.13"/>
    <x v="0"/>
  </r>
  <r>
    <s v="2023-07-30"/>
    <x v="5"/>
    <x v="1"/>
    <x v="0"/>
    <x v="11"/>
    <x v="88"/>
    <x v="89"/>
    <n v="1329.3"/>
    <n v="10"/>
    <n v="0.2"/>
    <n v="94.45"/>
    <x v="2"/>
  </r>
  <r>
    <s v="2023-05-18"/>
    <x v="6"/>
    <x v="2"/>
    <x v="1"/>
    <x v="3"/>
    <x v="89"/>
    <x v="90"/>
    <n v="1405.3200000000002"/>
    <n v="5"/>
    <n v="0.15"/>
    <n v="-69.63"/>
    <x v="2"/>
  </r>
  <r>
    <s v="2023-12-30"/>
    <x v="11"/>
    <x v="3"/>
    <x v="0"/>
    <x v="11"/>
    <x v="90"/>
    <x v="91"/>
    <n v="860.01"/>
    <n v="8"/>
    <n v="0"/>
    <n v="67.47"/>
    <x v="0"/>
  </r>
  <r>
    <s v="2023-04-26"/>
    <x v="1"/>
    <x v="3"/>
    <x v="0"/>
    <x v="10"/>
    <x v="91"/>
    <x v="92"/>
    <n v="1643.0400000000002"/>
    <n v="2"/>
    <n v="0.15"/>
    <n v="-102.16"/>
    <x v="1"/>
  </r>
  <r>
    <s v="2023-04-04"/>
    <x v="1"/>
    <x v="2"/>
    <x v="1"/>
    <x v="6"/>
    <x v="92"/>
    <x v="93"/>
    <n v="104.63"/>
    <n v="8"/>
    <n v="0"/>
    <n v="42.22"/>
    <x v="0"/>
  </r>
  <r>
    <s v="2023-10-08"/>
    <x v="10"/>
    <x v="1"/>
    <x v="0"/>
    <x v="0"/>
    <x v="93"/>
    <x v="94"/>
    <n v="1110.31"/>
    <n v="4"/>
    <n v="0"/>
    <n v="115.91"/>
    <x v="2"/>
  </r>
  <r>
    <s v="2023-09-27"/>
    <x v="3"/>
    <x v="1"/>
    <x v="2"/>
    <x v="7"/>
    <x v="94"/>
    <x v="95"/>
    <n v="721.29"/>
    <n v="9"/>
    <n v="0.1"/>
    <n v="170.38"/>
    <x v="1"/>
  </r>
  <r>
    <s v="2023-05-04"/>
    <x v="6"/>
    <x v="1"/>
    <x v="0"/>
    <x v="11"/>
    <x v="95"/>
    <x v="96"/>
    <n v="510.01"/>
    <n v="10"/>
    <n v="0.1"/>
    <n v="68.09"/>
    <x v="0"/>
  </r>
  <r>
    <s v="2023-02-21"/>
    <x v="4"/>
    <x v="1"/>
    <x v="2"/>
    <x v="8"/>
    <x v="96"/>
    <x v="97"/>
    <n v="376.9"/>
    <n v="4"/>
    <n v="0"/>
    <n v="25.92"/>
    <x v="1"/>
  </r>
  <r>
    <s v="2023-01-25"/>
    <x v="2"/>
    <x v="3"/>
    <x v="0"/>
    <x v="0"/>
    <x v="97"/>
    <x v="98"/>
    <n v="595.96"/>
    <n v="5"/>
    <n v="0.05"/>
    <n v="52.74"/>
    <x v="1"/>
  </r>
  <r>
    <s v="2023-03-08"/>
    <x v="8"/>
    <x v="3"/>
    <x v="1"/>
    <x v="1"/>
    <x v="98"/>
    <x v="99"/>
    <n v="396.38"/>
    <n v="6"/>
    <n v="0.1"/>
    <n v="49.21"/>
    <x v="1"/>
  </r>
  <r>
    <s v="2023-04-04"/>
    <x v="1"/>
    <x v="3"/>
    <x v="1"/>
    <x v="3"/>
    <x v="99"/>
    <x v="100"/>
    <n v="1707.94"/>
    <n v="5"/>
    <n v="0"/>
    <n v="223.63"/>
    <x v="0"/>
  </r>
  <r>
    <s v="2023-09-11"/>
    <x v="3"/>
    <x v="0"/>
    <x v="0"/>
    <x v="0"/>
    <x v="100"/>
    <x v="101"/>
    <n v="469.87"/>
    <n v="2"/>
    <n v="0"/>
    <n v="83.14"/>
    <x v="1"/>
  </r>
  <r>
    <s v="2023-01-15"/>
    <x v="2"/>
    <x v="1"/>
    <x v="2"/>
    <x v="9"/>
    <x v="101"/>
    <x v="102"/>
    <n v="1464.43"/>
    <n v="7"/>
    <n v="0.15"/>
    <n v="241"/>
    <x v="1"/>
  </r>
  <r>
    <s v="2023-02-28"/>
    <x v="4"/>
    <x v="0"/>
    <x v="0"/>
    <x v="2"/>
    <x v="102"/>
    <x v="103"/>
    <n v="1235.78"/>
    <n v="8"/>
    <n v="0.1"/>
    <n v="-4.68"/>
    <x v="2"/>
  </r>
  <r>
    <s v="2023-01-25"/>
    <x v="2"/>
    <x v="1"/>
    <x v="1"/>
    <x v="5"/>
    <x v="103"/>
    <x v="104"/>
    <n v="1242.56"/>
    <n v="6"/>
    <n v="0.05"/>
    <n v="183.86"/>
    <x v="2"/>
  </r>
  <r>
    <s v="2023-04-02"/>
    <x v="1"/>
    <x v="3"/>
    <x v="1"/>
    <x v="3"/>
    <x v="104"/>
    <x v="105"/>
    <n v="1321.61"/>
    <n v="9"/>
    <n v="0"/>
    <n v="519.94000000000005"/>
    <x v="1"/>
  </r>
  <r>
    <s v="2023-06-13"/>
    <x v="0"/>
    <x v="1"/>
    <x v="1"/>
    <x v="1"/>
    <x v="105"/>
    <x v="106"/>
    <n v="890.31"/>
    <n v="10"/>
    <n v="0"/>
    <n v="278.20999999999998"/>
    <x v="0"/>
  </r>
  <r>
    <s v="2023-02-13"/>
    <x v="4"/>
    <x v="0"/>
    <x v="0"/>
    <x v="2"/>
    <x v="106"/>
    <x v="107"/>
    <n v="550.79000000000008"/>
    <n v="1"/>
    <n v="0"/>
    <n v="34.53"/>
    <x v="1"/>
  </r>
  <r>
    <s v="2023-10-18"/>
    <x v="10"/>
    <x v="0"/>
    <x v="0"/>
    <x v="0"/>
    <x v="107"/>
    <x v="108"/>
    <n v="1986.48"/>
    <n v="5"/>
    <n v="0.2"/>
    <n v="-43.89"/>
    <x v="0"/>
  </r>
  <r>
    <s v="2023-03-08"/>
    <x v="8"/>
    <x v="1"/>
    <x v="1"/>
    <x v="3"/>
    <x v="108"/>
    <x v="109"/>
    <n v="424.04"/>
    <n v="8"/>
    <n v="0.05"/>
    <n v="65.459999999999994"/>
    <x v="1"/>
  </r>
  <r>
    <s v="2023-10-27"/>
    <x v="10"/>
    <x v="0"/>
    <x v="0"/>
    <x v="2"/>
    <x v="109"/>
    <x v="110"/>
    <n v="1143.4100000000001"/>
    <n v="4"/>
    <n v="0.15"/>
    <n v="-47.16"/>
    <x v="2"/>
  </r>
  <r>
    <s v="2023-06-19"/>
    <x v="0"/>
    <x v="3"/>
    <x v="2"/>
    <x v="9"/>
    <x v="110"/>
    <x v="111"/>
    <n v="650.98"/>
    <n v="8"/>
    <n v="0.1"/>
    <n v="138.87"/>
    <x v="1"/>
  </r>
  <r>
    <s v="2023-09-18"/>
    <x v="3"/>
    <x v="1"/>
    <x v="2"/>
    <x v="4"/>
    <x v="111"/>
    <x v="112"/>
    <n v="1254.0999999999999"/>
    <n v="9"/>
    <n v="0.05"/>
    <n v="393.14"/>
    <x v="0"/>
  </r>
  <r>
    <s v="2023-06-28"/>
    <x v="0"/>
    <x v="0"/>
    <x v="2"/>
    <x v="9"/>
    <x v="112"/>
    <x v="113"/>
    <n v="645.37"/>
    <n v="2"/>
    <n v="0.1"/>
    <n v="15.36"/>
    <x v="1"/>
  </r>
  <r>
    <s v="2023-05-31"/>
    <x v="6"/>
    <x v="1"/>
    <x v="0"/>
    <x v="10"/>
    <x v="113"/>
    <x v="114"/>
    <n v="744.38"/>
    <n v="2"/>
    <n v="0.2"/>
    <n v="1.91"/>
    <x v="0"/>
  </r>
  <r>
    <s v="2023-07-21"/>
    <x v="5"/>
    <x v="3"/>
    <x v="1"/>
    <x v="5"/>
    <x v="114"/>
    <x v="115"/>
    <n v="711.58"/>
    <n v="3"/>
    <n v="0.2"/>
    <n v="33.159999999999997"/>
    <x v="1"/>
  </r>
  <r>
    <s v="2023-03-29"/>
    <x v="8"/>
    <x v="0"/>
    <x v="0"/>
    <x v="0"/>
    <x v="115"/>
    <x v="116"/>
    <n v="514.46"/>
    <n v="4"/>
    <n v="0"/>
    <n v="184.2"/>
    <x v="0"/>
  </r>
  <r>
    <s v="2023-01-12"/>
    <x v="2"/>
    <x v="0"/>
    <x v="0"/>
    <x v="10"/>
    <x v="116"/>
    <x v="117"/>
    <n v="690.62"/>
    <n v="1"/>
    <n v="0.15"/>
    <n v="-30.34"/>
    <x v="1"/>
  </r>
  <r>
    <s v="2023-06-22"/>
    <x v="0"/>
    <x v="1"/>
    <x v="0"/>
    <x v="2"/>
    <x v="117"/>
    <x v="118"/>
    <n v="77.89"/>
    <n v="5"/>
    <n v="0.05"/>
    <n v="12.87"/>
    <x v="2"/>
  </r>
  <r>
    <s v="2023-01-30"/>
    <x v="2"/>
    <x v="0"/>
    <x v="2"/>
    <x v="4"/>
    <x v="118"/>
    <x v="119"/>
    <n v="103.38"/>
    <n v="6"/>
    <n v="0"/>
    <n v="21.07"/>
    <x v="2"/>
  </r>
  <r>
    <s v="2023-10-05"/>
    <x v="10"/>
    <x v="1"/>
    <x v="1"/>
    <x v="3"/>
    <x v="119"/>
    <x v="120"/>
    <n v="1062.0900000000001"/>
    <n v="8"/>
    <n v="0"/>
    <n v="79.59"/>
    <x v="1"/>
  </r>
  <r>
    <s v="2023-01-12"/>
    <x v="2"/>
    <x v="2"/>
    <x v="2"/>
    <x v="7"/>
    <x v="120"/>
    <x v="121"/>
    <n v="1398.07"/>
    <n v="10"/>
    <n v="0.05"/>
    <n v="200.69"/>
    <x v="1"/>
  </r>
  <r>
    <s v="2023-09-19"/>
    <x v="3"/>
    <x v="1"/>
    <x v="2"/>
    <x v="7"/>
    <x v="121"/>
    <x v="122"/>
    <n v="65.55"/>
    <n v="7"/>
    <n v="0.05"/>
    <n v="14.72"/>
    <x v="1"/>
  </r>
  <r>
    <s v="2023-04-09"/>
    <x v="1"/>
    <x v="3"/>
    <x v="1"/>
    <x v="3"/>
    <x v="122"/>
    <x v="123"/>
    <n v="251.45999999999998"/>
    <n v="5"/>
    <n v="0.15"/>
    <n v="13.05"/>
    <x v="0"/>
  </r>
  <r>
    <s v="2023-12-07"/>
    <x v="11"/>
    <x v="2"/>
    <x v="2"/>
    <x v="7"/>
    <x v="123"/>
    <x v="124"/>
    <n v="253.08"/>
    <n v="9"/>
    <n v="0.15"/>
    <n v="29.84"/>
    <x v="1"/>
  </r>
  <r>
    <s v="2023-12-31"/>
    <x v="11"/>
    <x v="2"/>
    <x v="2"/>
    <x v="7"/>
    <x v="124"/>
    <x v="125"/>
    <n v="1555"/>
    <n v="1"/>
    <n v="0.2"/>
    <n v="-11.79"/>
    <x v="1"/>
  </r>
  <r>
    <s v="2023-02-12"/>
    <x v="4"/>
    <x v="0"/>
    <x v="1"/>
    <x v="1"/>
    <x v="125"/>
    <x v="126"/>
    <n v="890.5"/>
    <n v="3"/>
    <n v="0.05"/>
    <n v="227.28"/>
    <x v="2"/>
  </r>
  <r>
    <s v="2023-07-17"/>
    <x v="5"/>
    <x v="2"/>
    <x v="2"/>
    <x v="9"/>
    <x v="126"/>
    <x v="127"/>
    <n v="1703.4199999999998"/>
    <n v="2"/>
    <n v="0.15"/>
    <n v="1.19"/>
    <x v="0"/>
  </r>
  <r>
    <s v="2023-12-09"/>
    <x v="11"/>
    <x v="3"/>
    <x v="0"/>
    <x v="0"/>
    <x v="127"/>
    <x v="128"/>
    <n v="63.190000000000005"/>
    <n v="6"/>
    <n v="0.1"/>
    <n v="0.73"/>
    <x v="0"/>
  </r>
  <r>
    <s v="2023-09-19"/>
    <x v="3"/>
    <x v="3"/>
    <x v="0"/>
    <x v="10"/>
    <x v="128"/>
    <x v="129"/>
    <n v="1290.46"/>
    <n v="7"/>
    <n v="0.05"/>
    <n v="302.2"/>
    <x v="2"/>
  </r>
  <r>
    <s v="2023-02-06"/>
    <x v="4"/>
    <x v="3"/>
    <x v="2"/>
    <x v="8"/>
    <x v="129"/>
    <x v="130"/>
    <n v="1881.52"/>
    <n v="10"/>
    <n v="0.15"/>
    <n v="65.09"/>
    <x v="2"/>
  </r>
  <r>
    <s v="2023-07-28"/>
    <x v="5"/>
    <x v="1"/>
    <x v="1"/>
    <x v="6"/>
    <x v="130"/>
    <x v="131"/>
    <n v="1463.29"/>
    <n v="2"/>
    <n v="0"/>
    <n v="163.02000000000001"/>
    <x v="2"/>
  </r>
  <r>
    <s v="2023-08-18"/>
    <x v="7"/>
    <x v="0"/>
    <x v="0"/>
    <x v="2"/>
    <x v="131"/>
    <x v="132"/>
    <n v="142.10999999999999"/>
    <n v="2"/>
    <n v="0.2"/>
    <n v="-7.38"/>
    <x v="1"/>
  </r>
  <r>
    <s v="2023-03-17"/>
    <x v="8"/>
    <x v="3"/>
    <x v="2"/>
    <x v="9"/>
    <x v="132"/>
    <x v="133"/>
    <n v="444.4"/>
    <n v="5"/>
    <n v="0"/>
    <n v="180"/>
    <x v="1"/>
  </r>
  <r>
    <s v="2023-09-06"/>
    <x v="3"/>
    <x v="3"/>
    <x v="2"/>
    <x v="9"/>
    <x v="133"/>
    <x v="134"/>
    <n v="1425.86"/>
    <n v="6"/>
    <n v="0.15"/>
    <n v="-12.02"/>
    <x v="2"/>
  </r>
  <r>
    <s v="2023-09-22"/>
    <x v="3"/>
    <x v="1"/>
    <x v="0"/>
    <x v="11"/>
    <x v="134"/>
    <x v="135"/>
    <n v="182.88000000000002"/>
    <n v="2"/>
    <n v="0.05"/>
    <n v="24.23"/>
    <x v="1"/>
  </r>
  <r>
    <s v="2023-11-12"/>
    <x v="9"/>
    <x v="0"/>
    <x v="1"/>
    <x v="1"/>
    <x v="135"/>
    <x v="136"/>
    <n v="1261.0400000000002"/>
    <n v="4"/>
    <n v="0.15"/>
    <n v="185.1"/>
    <x v="0"/>
  </r>
  <r>
    <s v="2023-10-01"/>
    <x v="10"/>
    <x v="3"/>
    <x v="0"/>
    <x v="10"/>
    <x v="136"/>
    <x v="137"/>
    <n v="389.84000000000003"/>
    <n v="10"/>
    <n v="0.2"/>
    <n v="-30.98"/>
    <x v="0"/>
  </r>
  <r>
    <s v="2023-02-22"/>
    <x v="4"/>
    <x v="0"/>
    <x v="2"/>
    <x v="7"/>
    <x v="137"/>
    <x v="138"/>
    <n v="107.22"/>
    <n v="7"/>
    <n v="0.15"/>
    <n v="-1.06"/>
    <x v="0"/>
  </r>
  <r>
    <s v="2023-03-28"/>
    <x v="8"/>
    <x v="3"/>
    <x v="0"/>
    <x v="0"/>
    <x v="138"/>
    <x v="139"/>
    <n v="1666.4099999999999"/>
    <n v="6"/>
    <n v="0.2"/>
    <n v="-62.86"/>
    <x v="1"/>
  </r>
  <r>
    <s v="2023-08-17"/>
    <x v="7"/>
    <x v="2"/>
    <x v="0"/>
    <x v="2"/>
    <x v="139"/>
    <x v="140"/>
    <n v="885.19"/>
    <n v="1"/>
    <n v="0.1"/>
    <n v="171.48"/>
    <x v="0"/>
  </r>
  <r>
    <s v="2023-03-27"/>
    <x v="8"/>
    <x v="3"/>
    <x v="2"/>
    <x v="4"/>
    <x v="140"/>
    <x v="141"/>
    <n v="1951.81"/>
    <n v="7"/>
    <n v="0.15"/>
    <n v="43.38"/>
    <x v="1"/>
  </r>
  <r>
    <s v="2023-06-05"/>
    <x v="0"/>
    <x v="2"/>
    <x v="0"/>
    <x v="11"/>
    <x v="141"/>
    <x v="142"/>
    <n v="523.79"/>
    <n v="1"/>
    <n v="0.2"/>
    <n v="38.69"/>
    <x v="0"/>
  </r>
  <r>
    <s v="2023-09-19"/>
    <x v="3"/>
    <x v="3"/>
    <x v="2"/>
    <x v="8"/>
    <x v="142"/>
    <x v="143"/>
    <n v="1561.71"/>
    <n v="3"/>
    <n v="0.1"/>
    <n v="27.12"/>
    <x v="0"/>
  </r>
  <r>
    <s v="2023-10-10"/>
    <x v="10"/>
    <x v="3"/>
    <x v="2"/>
    <x v="8"/>
    <x v="143"/>
    <x v="144"/>
    <n v="400.78"/>
    <n v="1"/>
    <n v="0.1"/>
    <n v="99.23"/>
    <x v="0"/>
  </r>
  <r>
    <s v="2023-02-16"/>
    <x v="4"/>
    <x v="0"/>
    <x v="1"/>
    <x v="6"/>
    <x v="144"/>
    <x v="145"/>
    <n v="1367.8400000000001"/>
    <n v="4"/>
    <n v="0"/>
    <n v="169.63"/>
    <x v="1"/>
  </r>
  <r>
    <s v="2023-01-01"/>
    <x v="2"/>
    <x v="3"/>
    <x v="1"/>
    <x v="6"/>
    <x v="145"/>
    <x v="146"/>
    <n v="1326.3100000000002"/>
    <n v="3"/>
    <n v="0.2"/>
    <n v="87.34"/>
    <x v="2"/>
  </r>
  <r>
    <s v="2023-12-26"/>
    <x v="11"/>
    <x v="2"/>
    <x v="2"/>
    <x v="9"/>
    <x v="146"/>
    <x v="147"/>
    <n v="84.48"/>
    <n v="8"/>
    <n v="0.2"/>
    <n v="1.86"/>
    <x v="0"/>
  </r>
  <r>
    <s v="2023-05-05"/>
    <x v="6"/>
    <x v="3"/>
    <x v="2"/>
    <x v="4"/>
    <x v="147"/>
    <x v="148"/>
    <n v="1396.46"/>
    <n v="7"/>
    <n v="0.2"/>
    <n v="-36.76"/>
    <x v="0"/>
  </r>
  <r>
    <s v="2023-10-07"/>
    <x v="10"/>
    <x v="3"/>
    <x v="0"/>
    <x v="2"/>
    <x v="148"/>
    <x v="149"/>
    <n v="1254.23"/>
    <n v="3"/>
    <n v="0.15"/>
    <n v="-9.07"/>
    <x v="2"/>
  </r>
  <r>
    <s v="2023-12-27"/>
    <x v="11"/>
    <x v="0"/>
    <x v="2"/>
    <x v="4"/>
    <x v="149"/>
    <x v="150"/>
    <n v="548.99"/>
    <n v="5"/>
    <n v="0.1"/>
    <n v="10.09"/>
    <x v="0"/>
  </r>
  <r>
    <s v="2023-06-24"/>
    <x v="0"/>
    <x v="3"/>
    <x v="2"/>
    <x v="8"/>
    <x v="150"/>
    <x v="151"/>
    <n v="681.29000000000008"/>
    <n v="2"/>
    <n v="0.1"/>
    <n v="-11.35"/>
    <x v="1"/>
  </r>
  <r>
    <s v="2023-01-26"/>
    <x v="2"/>
    <x v="3"/>
    <x v="0"/>
    <x v="11"/>
    <x v="151"/>
    <x v="152"/>
    <n v="590.91000000000008"/>
    <n v="5"/>
    <n v="0"/>
    <n v="246.42"/>
    <x v="2"/>
  </r>
  <r>
    <s v="2023-07-16"/>
    <x v="5"/>
    <x v="2"/>
    <x v="0"/>
    <x v="11"/>
    <x v="152"/>
    <x v="153"/>
    <n v="965.7700000000001"/>
    <n v="2"/>
    <n v="0.05"/>
    <n v="258.14999999999998"/>
    <x v="1"/>
  </r>
  <r>
    <s v="2023-10-25"/>
    <x v="10"/>
    <x v="0"/>
    <x v="2"/>
    <x v="7"/>
    <x v="153"/>
    <x v="154"/>
    <n v="1556.1399999999999"/>
    <n v="1"/>
    <n v="0.2"/>
    <n v="-157.83000000000001"/>
    <x v="1"/>
  </r>
  <r>
    <s v="2023-08-15"/>
    <x v="7"/>
    <x v="2"/>
    <x v="2"/>
    <x v="7"/>
    <x v="154"/>
    <x v="155"/>
    <n v="1008.29"/>
    <n v="7"/>
    <n v="0.2"/>
    <n v="87.51"/>
    <x v="0"/>
  </r>
  <r>
    <s v="2023-03-28"/>
    <x v="8"/>
    <x v="0"/>
    <x v="1"/>
    <x v="6"/>
    <x v="155"/>
    <x v="156"/>
    <n v="1880.21"/>
    <n v="10"/>
    <n v="0.2"/>
    <n v="-39.03"/>
    <x v="1"/>
  </r>
  <r>
    <s v="2023-03-23"/>
    <x v="8"/>
    <x v="2"/>
    <x v="1"/>
    <x v="3"/>
    <x v="156"/>
    <x v="157"/>
    <n v="565.08000000000004"/>
    <n v="10"/>
    <n v="0.1"/>
    <n v="11.89"/>
    <x v="1"/>
  </r>
  <r>
    <s v="2023-06-23"/>
    <x v="0"/>
    <x v="0"/>
    <x v="1"/>
    <x v="1"/>
    <x v="157"/>
    <x v="158"/>
    <n v="515.16"/>
    <n v="5"/>
    <n v="0.15"/>
    <n v="86.96"/>
    <x v="2"/>
  </r>
  <r>
    <s v="2023-02-15"/>
    <x v="4"/>
    <x v="2"/>
    <x v="0"/>
    <x v="2"/>
    <x v="158"/>
    <x v="159"/>
    <n v="765.36"/>
    <n v="1"/>
    <n v="0"/>
    <n v="159.84"/>
    <x v="2"/>
  </r>
  <r>
    <s v="2023-08-05"/>
    <x v="7"/>
    <x v="3"/>
    <x v="2"/>
    <x v="7"/>
    <x v="159"/>
    <x v="160"/>
    <n v="1361.5900000000001"/>
    <n v="8"/>
    <n v="0.2"/>
    <n v="-50.89"/>
    <x v="2"/>
  </r>
  <r>
    <s v="2023-12-26"/>
    <x v="11"/>
    <x v="3"/>
    <x v="2"/>
    <x v="7"/>
    <x v="160"/>
    <x v="161"/>
    <n v="97.35"/>
    <n v="5"/>
    <n v="0.1"/>
    <n v="-3.61"/>
    <x v="1"/>
  </r>
  <r>
    <s v="2023-04-18"/>
    <x v="1"/>
    <x v="1"/>
    <x v="2"/>
    <x v="9"/>
    <x v="161"/>
    <x v="162"/>
    <n v="520.99"/>
    <n v="5"/>
    <n v="0.1"/>
    <n v="66.47"/>
    <x v="2"/>
  </r>
  <r>
    <s v="2023-06-26"/>
    <x v="0"/>
    <x v="2"/>
    <x v="0"/>
    <x v="11"/>
    <x v="162"/>
    <x v="163"/>
    <n v="725.74"/>
    <n v="6"/>
    <n v="0.1"/>
    <n v="7.7"/>
    <x v="0"/>
  </r>
  <r>
    <s v="2023-08-15"/>
    <x v="7"/>
    <x v="2"/>
    <x v="1"/>
    <x v="6"/>
    <x v="163"/>
    <x v="164"/>
    <n v="653.59999999999991"/>
    <n v="3"/>
    <n v="0.1"/>
    <n v="35.81"/>
    <x v="0"/>
  </r>
  <r>
    <s v="2023-10-26"/>
    <x v="10"/>
    <x v="1"/>
    <x v="2"/>
    <x v="8"/>
    <x v="164"/>
    <x v="165"/>
    <n v="384.44"/>
    <n v="8"/>
    <n v="0.2"/>
    <n v="-28.33"/>
    <x v="2"/>
  </r>
  <r>
    <s v="2023-01-22"/>
    <x v="2"/>
    <x v="0"/>
    <x v="1"/>
    <x v="1"/>
    <x v="165"/>
    <x v="166"/>
    <n v="1043.43"/>
    <n v="3"/>
    <n v="0.15"/>
    <n v="-25.78"/>
    <x v="1"/>
  </r>
  <r>
    <s v="2023-11-21"/>
    <x v="9"/>
    <x v="3"/>
    <x v="0"/>
    <x v="2"/>
    <x v="166"/>
    <x v="167"/>
    <n v="394.97"/>
    <n v="5"/>
    <n v="0.2"/>
    <n v="12.9"/>
    <x v="2"/>
  </r>
  <r>
    <s v="2023-10-11"/>
    <x v="10"/>
    <x v="3"/>
    <x v="1"/>
    <x v="3"/>
    <x v="167"/>
    <x v="168"/>
    <n v="148.38999999999999"/>
    <n v="10"/>
    <n v="0.05"/>
    <n v="8.11"/>
    <x v="1"/>
  </r>
  <r>
    <s v="2023-09-18"/>
    <x v="3"/>
    <x v="0"/>
    <x v="1"/>
    <x v="3"/>
    <x v="168"/>
    <x v="169"/>
    <n v="776.96"/>
    <n v="3"/>
    <n v="0.05"/>
    <n v="23.74"/>
    <x v="0"/>
  </r>
  <r>
    <s v="2023-07-29"/>
    <x v="5"/>
    <x v="2"/>
    <x v="2"/>
    <x v="4"/>
    <x v="169"/>
    <x v="170"/>
    <n v="833.29"/>
    <n v="3"/>
    <n v="0.2"/>
    <n v="-55.28"/>
    <x v="1"/>
  </r>
  <r>
    <s v="2023-12-01"/>
    <x v="11"/>
    <x v="2"/>
    <x v="1"/>
    <x v="6"/>
    <x v="170"/>
    <x v="171"/>
    <n v="414.59000000000003"/>
    <n v="5"/>
    <n v="0.15"/>
    <n v="61.58"/>
    <x v="2"/>
  </r>
  <r>
    <s v="2023-10-02"/>
    <x v="10"/>
    <x v="2"/>
    <x v="2"/>
    <x v="9"/>
    <x v="171"/>
    <x v="172"/>
    <n v="175.64000000000001"/>
    <n v="6"/>
    <n v="0.05"/>
    <n v="40.29"/>
    <x v="2"/>
  </r>
  <r>
    <s v="2023-12-08"/>
    <x v="11"/>
    <x v="0"/>
    <x v="0"/>
    <x v="10"/>
    <x v="172"/>
    <x v="173"/>
    <n v="930.17000000000007"/>
    <n v="4"/>
    <n v="0.1"/>
    <n v="116.04"/>
    <x v="1"/>
  </r>
  <r>
    <s v="2023-05-01"/>
    <x v="6"/>
    <x v="1"/>
    <x v="0"/>
    <x v="11"/>
    <x v="173"/>
    <x v="174"/>
    <n v="1981.35"/>
    <n v="8"/>
    <n v="0.1"/>
    <n v="-11.37"/>
    <x v="0"/>
  </r>
  <r>
    <s v="2023-10-04"/>
    <x v="10"/>
    <x v="1"/>
    <x v="2"/>
    <x v="9"/>
    <x v="174"/>
    <x v="175"/>
    <n v="324.69"/>
    <n v="6"/>
    <n v="0.2"/>
    <n v="-30.58"/>
    <x v="0"/>
  </r>
  <r>
    <s v="2023-07-13"/>
    <x v="5"/>
    <x v="2"/>
    <x v="0"/>
    <x v="11"/>
    <x v="175"/>
    <x v="176"/>
    <n v="1124.3599999999999"/>
    <n v="7"/>
    <n v="0"/>
    <n v="253.25"/>
    <x v="0"/>
  </r>
  <r>
    <s v="2023-10-16"/>
    <x v="10"/>
    <x v="2"/>
    <x v="2"/>
    <x v="8"/>
    <x v="176"/>
    <x v="177"/>
    <n v="721.04"/>
    <n v="6"/>
    <n v="0.05"/>
    <n v="68.98"/>
    <x v="0"/>
  </r>
  <r>
    <s v="2023-04-13"/>
    <x v="1"/>
    <x v="3"/>
    <x v="0"/>
    <x v="0"/>
    <x v="177"/>
    <x v="178"/>
    <n v="840.01"/>
    <n v="3"/>
    <n v="0.15"/>
    <n v="144.03"/>
    <x v="1"/>
  </r>
  <r>
    <s v="2023-03-05"/>
    <x v="8"/>
    <x v="1"/>
    <x v="2"/>
    <x v="4"/>
    <x v="178"/>
    <x v="179"/>
    <n v="1335.5"/>
    <n v="10"/>
    <n v="0"/>
    <n v="212.95"/>
    <x v="1"/>
  </r>
  <r>
    <s v="2023-08-23"/>
    <x v="7"/>
    <x v="2"/>
    <x v="1"/>
    <x v="1"/>
    <x v="179"/>
    <x v="180"/>
    <n v="1377.4"/>
    <n v="3"/>
    <n v="0"/>
    <n v="161.37"/>
    <x v="2"/>
  </r>
  <r>
    <s v="2023-10-03"/>
    <x v="10"/>
    <x v="3"/>
    <x v="2"/>
    <x v="7"/>
    <x v="180"/>
    <x v="181"/>
    <n v="1160.3699999999999"/>
    <n v="4"/>
    <n v="0.15"/>
    <n v="13.14"/>
    <x v="0"/>
  </r>
  <r>
    <s v="2023-09-23"/>
    <x v="3"/>
    <x v="1"/>
    <x v="0"/>
    <x v="0"/>
    <x v="181"/>
    <x v="182"/>
    <n v="315.52000000000004"/>
    <n v="8"/>
    <n v="0"/>
    <n v="92.46"/>
    <x v="0"/>
  </r>
  <r>
    <s v="2023-10-12"/>
    <x v="10"/>
    <x v="1"/>
    <x v="1"/>
    <x v="5"/>
    <x v="182"/>
    <x v="183"/>
    <n v="906.5"/>
    <n v="8"/>
    <n v="0.15"/>
    <n v="-52.86"/>
    <x v="2"/>
  </r>
  <r>
    <s v="2023-01-20"/>
    <x v="2"/>
    <x v="1"/>
    <x v="2"/>
    <x v="9"/>
    <x v="183"/>
    <x v="184"/>
    <n v="544.43999999999994"/>
    <n v="6"/>
    <n v="0"/>
    <n v="51.57"/>
    <x v="2"/>
  </r>
  <r>
    <s v="2023-02-01"/>
    <x v="4"/>
    <x v="0"/>
    <x v="2"/>
    <x v="9"/>
    <x v="184"/>
    <x v="185"/>
    <n v="1804.4599999999998"/>
    <n v="8"/>
    <n v="0.15"/>
    <n v="-28.09"/>
    <x v="2"/>
  </r>
  <r>
    <s v="2023-10-20"/>
    <x v="10"/>
    <x v="2"/>
    <x v="0"/>
    <x v="2"/>
    <x v="185"/>
    <x v="186"/>
    <n v="389.79"/>
    <n v="4"/>
    <n v="0.05"/>
    <n v="39.130000000000003"/>
    <x v="0"/>
  </r>
  <r>
    <s v="2023-10-12"/>
    <x v="10"/>
    <x v="3"/>
    <x v="1"/>
    <x v="1"/>
    <x v="186"/>
    <x v="187"/>
    <n v="889.43999999999994"/>
    <n v="4"/>
    <n v="0.1"/>
    <n v="148.38999999999999"/>
    <x v="0"/>
  </r>
  <r>
    <s v="2023-11-01"/>
    <x v="9"/>
    <x v="2"/>
    <x v="1"/>
    <x v="6"/>
    <x v="187"/>
    <x v="188"/>
    <n v="1415.67"/>
    <n v="10"/>
    <n v="0"/>
    <n v="425.35"/>
    <x v="2"/>
  </r>
  <r>
    <s v="2023-06-02"/>
    <x v="0"/>
    <x v="0"/>
    <x v="0"/>
    <x v="2"/>
    <x v="188"/>
    <x v="189"/>
    <n v="345.03999999999996"/>
    <n v="6"/>
    <n v="0"/>
    <n v="30.42"/>
    <x v="2"/>
  </r>
  <r>
    <s v="2023-12-18"/>
    <x v="11"/>
    <x v="1"/>
    <x v="0"/>
    <x v="2"/>
    <x v="189"/>
    <x v="190"/>
    <n v="222.03"/>
    <n v="4"/>
    <n v="0.2"/>
    <n v="-20.99"/>
    <x v="1"/>
  </r>
  <r>
    <s v="2023-03-02"/>
    <x v="8"/>
    <x v="0"/>
    <x v="2"/>
    <x v="7"/>
    <x v="190"/>
    <x v="191"/>
    <n v="1250.8"/>
    <n v="5"/>
    <n v="0.15"/>
    <n v="-93.03"/>
    <x v="2"/>
  </r>
  <r>
    <s v="2023-07-12"/>
    <x v="5"/>
    <x v="1"/>
    <x v="0"/>
    <x v="11"/>
    <x v="191"/>
    <x v="192"/>
    <n v="658.09"/>
    <n v="1"/>
    <n v="0.15"/>
    <n v="-11.9"/>
    <x v="2"/>
  </r>
  <r>
    <s v="2023-06-08"/>
    <x v="0"/>
    <x v="0"/>
    <x v="1"/>
    <x v="6"/>
    <x v="192"/>
    <x v="193"/>
    <n v="1204.1599999999999"/>
    <n v="1"/>
    <n v="0"/>
    <n v="166.21"/>
    <x v="2"/>
  </r>
  <r>
    <s v="2023-10-29"/>
    <x v="10"/>
    <x v="2"/>
    <x v="1"/>
    <x v="5"/>
    <x v="193"/>
    <x v="194"/>
    <n v="833.2"/>
    <n v="8"/>
    <n v="0.15"/>
    <n v="87.5"/>
    <x v="2"/>
  </r>
  <r>
    <s v="2023-02-04"/>
    <x v="4"/>
    <x v="2"/>
    <x v="1"/>
    <x v="3"/>
    <x v="194"/>
    <x v="195"/>
    <n v="1742.78"/>
    <n v="5"/>
    <n v="0.15"/>
    <n v="-9.5299999999999994"/>
    <x v="1"/>
  </r>
  <r>
    <s v="2023-03-02"/>
    <x v="8"/>
    <x v="3"/>
    <x v="1"/>
    <x v="3"/>
    <x v="195"/>
    <x v="196"/>
    <n v="1411.29"/>
    <n v="1"/>
    <n v="0.1"/>
    <n v="49.47"/>
    <x v="1"/>
  </r>
  <r>
    <s v="2023-01-24"/>
    <x v="2"/>
    <x v="3"/>
    <x v="1"/>
    <x v="6"/>
    <x v="196"/>
    <x v="197"/>
    <n v="248.38"/>
    <n v="7"/>
    <n v="0.15"/>
    <n v="-19.43"/>
    <x v="2"/>
  </r>
  <r>
    <s v="2023-07-20"/>
    <x v="5"/>
    <x v="1"/>
    <x v="0"/>
    <x v="11"/>
    <x v="197"/>
    <x v="198"/>
    <n v="1470.1299999999999"/>
    <n v="7"/>
    <n v="0.1"/>
    <n v="97.46"/>
    <x v="0"/>
  </r>
  <r>
    <s v="2023-11-26"/>
    <x v="9"/>
    <x v="3"/>
    <x v="2"/>
    <x v="8"/>
    <x v="198"/>
    <x v="199"/>
    <n v="626.72"/>
    <n v="8"/>
    <n v="0.2"/>
    <n v="41.05"/>
    <x v="1"/>
  </r>
  <r>
    <s v="2023-08-03"/>
    <x v="7"/>
    <x v="2"/>
    <x v="2"/>
    <x v="4"/>
    <x v="199"/>
    <x v="200"/>
    <n v="179.97"/>
    <n v="9"/>
    <n v="0.15"/>
    <n v="6.48"/>
    <x v="2"/>
  </r>
  <r>
    <s v="2023-06-10"/>
    <x v="0"/>
    <x v="0"/>
    <x v="0"/>
    <x v="10"/>
    <x v="200"/>
    <x v="201"/>
    <n v="723.61"/>
    <n v="7"/>
    <n v="0.05"/>
    <n v="93.67"/>
    <x v="2"/>
  </r>
  <r>
    <s v="2023-12-16"/>
    <x v="11"/>
    <x v="2"/>
    <x v="0"/>
    <x v="11"/>
    <x v="201"/>
    <x v="202"/>
    <n v="1903.25"/>
    <n v="10"/>
    <n v="0.1"/>
    <n v="7.77"/>
    <x v="1"/>
  </r>
  <r>
    <s v="2023-10-11"/>
    <x v="10"/>
    <x v="3"/>
    <x v="2"/>
    <x v="4"/>
    <x v="202"/>
    <x v="203"/>
    <n v="628.52"/>
    <n v="6"/>
    <n v="0.2"/>
    <n v="14.4"/>
    <x v="1"/>
  </r>
  <r>
    <s v="2023-05-24"/>
    <x v="6"/>
    <x v="1"/>
    <x v="2"/>
    <x v="9"/>
    <x v="203"/>
    <x v="204"/>
    <n v="1245.99"/>
    <n v="3"/>
    <n v="0.15"/>
    <n v="34.14"/>
    <x v="2"/>
  </r>
  <r>
    <s v="2023-12-04"/>
    <x v="11"/>
    <x v="2"/>
    <x v="1"/>
    <x v="6"/>
    <x v="204"/>
    <x v="205"/>
    <n v="444.87"/>
    <n v="4"/>
    <n v="0.1"/>
    <n v="50.79"/>
    <x v="1"/>
  </r>
  <r>
    <s v="2023-08-31"/>
    <x v="7"/>
    <x v="3"/>
    <x v="1"/>
    <x v="3"/>
    <x v="205"/>
    <x v="206"/>
    <n v="239.85999999999999"/>
    <n v="8"/>
    <n v="0.1"/>
    <n v="-8.41"/>
    <x v="2"/>
  </r>
  <r>
    <s v="2023-03-22"/>
    <x v="8"/>
    <x v="3"/>
    <x v="0"/>
    <x v="11"/>
    <x v="206"/>
    <x v="207"/>
    <n v="167.95000000000002"/>
    <n v="3"/>
    <n v="0.15"/>
    <n v="23.35"/>
    <x v="1"/>
  </r>
  <r>
    <s v="2023-10-13"/>
    <x v="10"/>
    <x v="0"/>
    <x v="2"/>
    <x v="9"/>
    <x v="207"/>
    <x v="208"/>
    <n v="738.9"/>
    <n v="9"/>
    <n v="0"/>
    <n v="155.83000000000001"/>
    <x v="0"/>
  </r>
  <r>
    <s v="2023-03-07"/>
    <x v="8"/>
    <x v="0"/>
    <x v="0"/>
    <x v="11"/>
    <x v="208"/>
    <x v="209"/>
    <n v="918.1"/>
    <n v="1"/>
    <n v="0.1"/>
    <n v="74.61"/>
    <x v="1"/>
  </r>
  <r>
    <s v="2023-11-15"/>
    <x v="9"/>
    <x v="2"/>
    <x v="1"/>
    <x v="3"/>
    <x v="209"/>
    <x v="210"/>
    <n v="1668.3600000000001"/>
    <n v="9"/>
    <n v="0.1"/>
    <n v="-26.17"/>
    <x v="2"/>
  </r>
  <r>
    <s v="2023-10-23"/>
    <x v="10"/>
    <x v="3"/>
    <x v="2"/>
    <x v="8"/>
    <x v="210"/>
    <x v="211"/>
    <n v="965.55"/>
    <n v="5"/>
    <n v="0"/>
    <n v="203.03"/>
    <x v="2"/>
  </r>
  <r>
    <s v="2023-03-24"/>
    <x v="8"/>
    <x v="3"/>
    <x v="0"/>
    <x v="11"/>
    <x v="211"/>
    <x v="212"/>
    <n v="291.8"/>
    <n v="6"/>
    <n v="0.15"/>
    <n v="22.15"/>
    <x v="1"/>
  </r>
  <r>
    <s v="2023-04-27"/>
    <x v="1"/>
    <x v="3"/>
    <x v="1"/>
    <x v="5"/>
    <x v="212"/>
    <x v="213"/>
    <n v="782.69"/>
    <n v="8"/>
    <n v="0"/>
    <n v="317.08"/>
    <x v="0"/>
  </r>
  <r>
    <s v="2023-11-22"/>
    <x v="9"/>
    <x v="3"/>
    <x v="1"/>
    <x v="3"/>
    <x v="213"/>
    <x v="214"/>
    <n v="1506.8"/>
    <n v="9"/>
    <n v="0.15"/>
    <n v="3.67"/>
    <x v="1"/>
  </r>
  <r>
    <s v="2023-07-13"/>
    <x v="5"/>
    <x v="1"/>
    <x v="2"/>
    <x v="9"/>
    <x v="214"/>
    <x v="215"/>
    <n v="838.84999999999991"/>
    <n v="3"/>
    <n v="0.05"/>
    <n v="225.95"/>
    <x v="2"/>
  </r>
  <r>
    <s v="2023-06-19"/>
    <x v="0"/>
    <x v="3"/>
    <x v="0"/>
    <x v="0"/>
    <x v="215"/>
    <x v="216"/>
    <n v="324.92"/>
    <n v="7"/>
    <n v="0.15"/>
    <n v="-8.0399999999999991"/>
    <x v="0"/>
  </r>
  <r>
    <s v="2023-08-03"/>
    <x v="7"/>
    <x v="0"/>
    <x v="0"/>
    <x v="11"/>
    <x v="216"/>
    <x v="217"/>
    <n v="1544.8600000000001"/>
    <n v="1"/>
    <n v="0.05"/>
    <n v="254.89"/>
    <x v="2"/>
  </r>
  <r>
    <s v="2023-07-16"/>
    <x v="5"/>
    <x v="1"/>
    <x v="1"/>
    <x v="5"/>
    <x v="217"/>
    <x v="218"/>
    <n v="592.71"/>
    <n v="1"/>
    <n v="0.15"/>
    <n v="97.57"/>
    <x v="2"/>
  </r>
  <r>
    <s v="2023-02-15"/>
    <x v="4"/>
    <x v="3"/>
    <x v="2"/>
    <x v="4"/>
    <x v="218"/>
    <x v="219"/>
    <n v="1332.18"/>
    <n v="4"/>
    <n v="0.1"/>
    <n v="52.21"/>
    <x v="2"/>
  </r>
  <r>
    <s v="2023-07-12"/>
    <x v="5"/>
    <x v="2"/>
    <x v="1"/>
    <x v="5"/>
    <x v="219"/>
    <x v="220"/>
    <n v="268.42"/>
    <n v="7"/>
    <n v="0.2"/>
    <n v="-18.79"/>
    <x v="1"/>
  </r>
  <r>
    <s v="2023-10-11"/>
    <x v="10"/>
    <x v="2"/>
    <x v="0"/>
    <x v="10"/>
    <x v="220"/>
    <x v="221"/>
    <n v="1662.15"/>
    <n v="8"/>
    <n v="0.2"/>
    <n v="-137.19"/>
    <x v="0"/>
  </r>
  <r>
    <s v="2023-04-25"/>
    <x v="1"/>
    <x v="1"/>
    <x v="2"/>
    <x v="4"/>
    <x v="221"/>
    <x v="222"/>
    <n v="1479.0700000000002"/>
    <n v="1"/>
    <n v="0.2"/>
    <n v="-31.15"/>
    <x v="1"/>
  </r>
  <r>
    <s v="2023-03-04"/>
    <x v="8"/>
    <x v="0"/>
    <x v="0"/>
    <x v="11"/>
    <x v="222"/>
    <x v="223"/>
    <n v="825.08000000000015"/>
    <n v="2"/>
    <n v="0"/>
    <n v="270.57"/>
    <x v="0"/>
  </r>
  <r>
    <s v="2023-04-06"/>
    <x v="1"/>
    <x v="1"/>
    <x v="2"/>
    <x v="8"/>
    <x v="223"/>
    <x v="224"/>
    <n v="476.21"/>
    <n v="9"/>
    <n v="0.15"/>
    <n v="-1.43"/>
    <x v="2"/>
  </r>
  <r>
    <s v="2023-03-21"/>
    <x v="8"/>
    <x v="3"/>
    <x v="1"/>
    <x v="1"/>
    <x v="224"/>
    <x v="225"/>
    <n v="866.6"/>
    <n v="2"/>
    <n v="0.1"/>
    <n v="196.42"/>
    <x v="0"/>
  </r>
  <r>
    <s v="2023-01-04"/>
    <x v="2"/>
    <x v="0"/>
    <x v="1"/>
    <x v="1"/>
    <x v="225"/>
    <x v="226"/>
    <n v="911.19999999999993"/>
    <n v="3"/>
    <n v="0.2"/>
    <n v="-68.150000000000006"/>
    <x v="1"/>
  </r>
  <r>
    <s v="2023-01-24"/>
    <x v="2"/>
    <x v="1"/>
    <x v="0"/>
    <x v="10"/>
    <x v="226"/>
    <x v="227"/>
    <n v="1128.43"/>
    <n v="2"/>
    <n v="0.05"/>
    <n v="86.28"/>
    <x v="0"/>
  </r>
  <r>
    <s v="2023-04-14"/>
    <x v="1"/>
    <x v="1"/>
    <x v="2"/>
    <x v="8"/>
    <x v="227"/>
    <x v="228"/>
    <n v="1317.04"/>
    <n v="2"/>
    <n v="0.2"/>
    <n v="-73.239999999999995"/>
    <x v="1"/>
  </r>
  <r>
    <s v="2023-10-10"/>
    <x v="10"/>
    <x v="0"/>
    <x v="2"/>
    <x v="9"/>
    <x v="228"/>
    <x v="229"/>
    <n v="1004.48"/>
    <n v="8"/>
    <n v="0.2"/>
    <n v="-19.27"/>
    <x v="0"/>
  </r>
  <r>
    <s v="2023-12-21"/>
    <x v="11"/>
    <x v="0"/>
    <x v="2"/>
    <x v="9"/>
    <x v="229"/>
    <x v="230"/>
    <n v="1238.6600000000001"/>
    <n v="2"/>
    <n v="0.1"/>
    <n v="39.99"/>
    <x v="2"/>
  </r>
  <r>
    <s v="2023-06-15"/>
    <x v="0"/>
    <x v="1"/>
    <x v="2"/>
    <x v="4"/>
    <x v="230"/>
    <x v="231"/>
    <n v="92.429999999999993"/>
    <n v="8"/>
    <n v="0"/>
    <n v="8.14"/>
    <x v="0"/>
  </r>
  <r>
    <s v="2023-08-13"/>
    <x v="7"/>
    <x v="3"/>
    <x v="2"/>
    <x v="9"/>
    <x v="231"/>
    <x v="232"/>
    <n v="1324.71"/>
    <n v="4"/>
    <n v="0"/>
    <n v="545.75"/>
    <x v="0"/>
  </r>
  <r>
    <s v="2023-04-11"/>
    <x v="1"/>
    <x v="3"/>
    <x v="1"/>
    <x v="3"/>
    <x v="232"/>
    <x v="233"/>
    <n v="1082.0700000000002"/>
    <n v="2"/>
    <n v="0.1"/>
    <n v="8.85"/>
    <x v="0"/>
  </r>
  <r>
    <s v="2023-08-25"/>
    <x v="7"/>
    <x v="0"/>
    <x v="1"/>
    <x v="1"/>
    <x v="233"/>
    <x v="234"/>
    <n v="516.31999999999994"/>
    <n v="7"/>
    <n v="0"/>
    <n v="67.739999999999995"/>
    <x v="1"/>
  </r>
  <r>
    <s v="2023-10-04"/>
    <x v="10"/>
    <x v="2"/>
    <x v="1"/>
    <x v="5"/>
    <x v="234"/>
    <x v="235"/>
    <n v="1626.54"/>
    <n v="1"/>
    <n v="0.15"/>
    <n v="-46.82"/>
    <x v="1"/>
  </r>
  <r>
    <s v="2023-10-15"/>
    <x v="10"/>
    <x v="2"/>
    <x v="2"/>
    <x v="8"/>
    <x v="235"/>
    <x v="236"/>
    <n v="1695.3"/>
    <n v="2"/>
    <n v="0.1"/>
    <n v="-15.26"/>
    <x v="1"/>
  </r>
  <r>
    <s v="2023-12-31"/>
    <x v="11"/>
    <x v="0"/>
    <x v="0"/>
    <x v="0"/>
    <x v="236"/>
    <x v="237"/>
    <n v="267.92999999999995"/>
    <n v="4"/>
    <n v="0"/>
    <n v="74.849999999999994"/>
    <x v="1"/>
  </r>
  <r>
    <s v="2023-01-26"/>
    <x v="2"/>
    <x v="1"/>
    <x v="1"/>
    <x v="3"/>
    <x v="237"/>
    <x v="238"/>
    <n v="1069.3800000000001"/>
    <n v="2"/>
    <n v="0"/>
    <n v="310.8"/>
    <x v="1"/>
  </r>
  <r>
    <s v="2023-03-29"/>
    <x v="8"/>
    <x v="0"/>
    <x v="2"/>
    <x v="4"/>
    <x v="238"/>
    <x v="239"/>
    <n v="155.25"/>
    <n v="1"/>
    <n v="0.15"/>
    <n v="-5.77"/>
    <x v="2"/>
  </r>
  <r>
    <s v="2023-08-19"/>
    <x v="7"/>
    <x v="3"/>
    <x v="2"/>
    <x v="9"/>
    <x v="239"/>
    <x v="240"/>
    <n v="569.06000000000006"/>
    <n v="2"/>
    <n v="0.1"/>
    <n v="132.63999999999999"/>
    <x v="2"/>
  </r>
  <r>
    <s v="2023-11-27"/>
    <x v="9"/>
    <x v="3"/>
    <x v="2"/>
    <x v="7"/>
    <x v="240"/>
    <x v="241"/>
    <n v="1624.55"/>
    <n v="10"/>
    <n v="0.1"/>
    <n v="-73.36"/>
    <x v="1"/>
  </r>
  <r>
    <s v="2023-12-09"/>
    <x v="11"/>
    <x v="2"/>
    <x v="1"/>
    <x v="6"/>
    <x v="241"/>
    <x v="242"/>
    <n v="1457.0900000000001"/>
    <n v="4"/>
    <n v="0"/>
    <n v="314.56"/>
    <x v="0"/>
  </r>
  <r>
    <s v="2023-08-13"/>
    <x v="7"/>
    <x v="1"/>
    <x v="1"/>
    <x v="5"/>
    <x v="242"/>
    <x v="243"/>
    <n v="92.38"/>
    <n v="7"/>
    <n v="0.05"/>
    <n v="12.61"/>
    <x v="1"/>
  </r>
  <r>
    <s v="2023-10-18"/>
    <x v="10"/>
    <x v="2"/>
    <x v="2"/>
    <x v="8"/>
    <x v="243"/>
    <x v="244"/>
    <n v="737.43000000000006"/>
    <n v="3"/>
    <n v="0.1"/>
    <n v="180.29"/>
    <x v="0"/>
  </r>
  <r>
    <s v="2023-08-24"/>
    <x v="7"/>
    <x v="1"/>
    <x v="0"/>
    <x v="11"/>
    <x v="244"/>
    <x v="245"/>
    <n v="1147.1399999999999"/>
    <n v="9"/>
    <n v="0.05"/>
    <n v="336.88"/>
    <x v="2"/>
  </r>
  <r>
    <s v="2023-06-19"/>
    <x v="0"/>
    <x v="0"/>
    <x v="1"/>
    <x v="6"/>
    <x v="245"/>
    <x v="246"/>
    <n v="326.81"/>
    <n v="7"/>
    <n v="0.15"/>
    <n v="-5.62"/>
    <x v="0"/>
  </r>
  <r>
    <s v="2023-06-30"/>
    <x v="0"/>
    <x v="1"/>
    <x v="2"/>
    <x v="9"/>
    <x v="246"/>
    <x v="247"/>
    <n v="330.3"/>
    <n v="6"/>
    <n v="0"/>
    <n v="124.14"/>
    <x v="1"/>
  </r>
  <r>
    <s v="2023-07-11"/>
    <x v="5"/>
    <x v="0"/>
    <x v="0"/>
    <x v="0"/>
    <x v="247"/>
    <x v="248"/>
    <n v="799.73"/>
    <n v="7"/>
    <n v="0.15"/>
    <n v="110.8"/>
    <x v="0"/>
  </r>
  <r>
    <s v="2023-01-18"/>
    <x v="2"/>
    <x v="2"/>
    <x v="1"/>
    <x v="3"/>
    <x v="248"/>
    <x v="249"/>
    <n v="1346.65"/>
    <n v="5"/>
    <n v="0.2"/>
    <n v="31.99"/>
    <x v="2"/>
  </r>
  <r>
    <s v="2023-05-24"/>
    <x v="6"/>
    <x v="1"/>
    <x v="1"/>
    <x v="3"/>
    <x v="249"/>
    <x v="250"/>
    <n v="1132.76"/>
    <n v="6"/>
    <n v="0.15"/>
    <n v="190.92"/>
    <x v="0"/>
  </r>
  <r>
    <s v="2023-08-11"/>
    <x v="7"/>
    <x v="2"/>
    <x v="1"/>
    <x v="6"/>
    <x v="250"/>
    <x v="251"/>
    <n v="148.21"/>
    <n v="9"/>
    <n v="0.15"/>
    <n v="20.059999999999999"/>
    <x v="0"/>
  </r>
  <r>
    <s v="2023-07-04"/>
    <x v="5"/>
    <x v="1"/>
    <x v="0"/>
    <x v="0"/>
    <x v="251"/>
    <x v="252"/>
    <n v="1342.37"/>
    <n v="4"/>
    <n v="0.1"/>
    <n v="109.24"/>
    <x v="1"/>
  </r>
  <r>
    <s v="2023-03-10"/>
    <x v="8"/>
    <x v="2"/>
    <x v="1"/>
    <x v="6"/>
    <x v="252"/>
    <x v="253"/>
    <n v="1059.67"/>
    <n v="6"/>
    <n v="0.1"/>
    <n v="185.02"/>
    <x v="0"/>
  </r>
  <r>
    <s v="2023-01-30"/>
    <x v="2"/>
    <x v="3"/>
    <x v="2"/>
    <x v="4"/>
    <x v="253"/>
    <x v="254"/>
    <n v="793.81"/>
    <n v="6"/>
    <n v="0.15"/>
    <n v="61.6"/>
    <x v="0"/>
  </r>
  <r>
    <s v="2023-01-19"/>
    <x v="2"/>
    <x v="0"/>
    <x v="1"/>
    <x v="1"/>
    <x v="254"/>
    <x v="255"/>
    <n v="335.69"/>
    <n v="3"/>
    <n v="0"/>
    <n v="52.65"/>
    <x v="0"/>
  </r>
  <r>
    <s v="2023-12-29"/>
    <x v="11"/>
    <x v="1"/>
    <x v="2"/>
    <x v="4"/>
    <x v="255"/>
    <x v="256"/>
    <n v="64.240000000000009"/>
    <n v="3"/>
    <n v="0"/>
    <n v="14.19"/>
    <x v="1"/>
  </r>
  <r>
    <s v="2023-07-10"/>
    <x v="5"/>
    <x v="3"/>
    <x v="1"/>
    <x v="5"/>
    <x v="256"/>
    <x v="257"/>
    <n v="239.93"/>
    <n v="4"/>
    <n v="0"/>
    <n v="91.39"/>
    <x v="0"/>
  </r>
  <r>
    <s v="2023-09-11"/>
    <x v="3"/>
    <x v="0"/>
    <x v="1"/>
    <x v="6"/>
    <x v="257"/>
    <x v="258"/>
    <n v="323.07"/>
    <n v="8"/>
    <n v="0"/>
    <n v="127.57"/>
    <x v="2"/>
  </r>
  <r>
    <s v="2023-03-06"/>
    <x v="8"/>
    <x v="2"/>
    <x v="1"/>
    <x v="1"/>
    <x v="258"/>
    <x v="259"/>
    <n v="429.07"/>
    <n v="4"/>
    <n v="0.15"/>
    <n v="-10.02"/>
    <x v="0"/>
  </r>
  <r>
    <s v="2023-10-07"/>
    <x v="10"/>
    <x v="0"/>
    <x v="0"/>
    <x v="11"/>
    <x v="259"/>
    <x v="260"/>
    <n v="925.75"/>
    <n v="8"/>
    <n v="0.15"/>
    <n v="116.5"/>
    <x v="2"/>
  </r>
  <r>
    <s v="2023-08-18"/>
    <x v="7"/>
    <x v="2"/>
    <x v="1"/>
    <x v="1"/>
    <x v="260"/>
    <x v="261"/>
    <n v="946.12999999999988"/>
    <n v="6"/>
    <n v="0.05"/>
    <n v="88.43"/>
    <x v="0"/>
  </r>
  <r>
    <s v="2023-01-24"/>
    <x v="2"/>
    <x v="1"/>
    <x v="1"/>
    <x v="6"/>
    <x v="261"/>
    <x v="262"/>
    <n v="1097.8"/>
    <n v="6"/>
    <n v="0.05"/>
    <n v="264.72000000000003"/>
    <x v="2"/>
  </r>
  <r>
    <s v="2023-04-20"/>
    <x v="1"/>
    <x v="2"/>
    <x v="1"/>
    <x v="1"/>
    <x v="262"/>
    <x v="263"/>
    <n v="1460"/>
    <n v="7"/>
    <n v="0.1"/>
    <n v="187"/>
    <x v="2"/>
  </r>
  <r>
    <s v="2023-05-23"/>
    <x v="6"/>
    <x v="3"/>
    <x v="2"/>
    <x v="4"/>
    <x v="263"/>
    <x v="264"/>
    <n v="450.51000000000005"/>
    <n v="3"/>
    <n v="0"/>
    <n v="183.95"/>
    <x v="1"/>
  </r>
  <r>
    <s v="2023-04-28"/>
    <x v="1"/>
    <x v="2"/>
    <x v="1"/>
    <x v="5"/>
    <x v="212"/>
    <x v="265"/>
    <n v="798.09999999999991"/>
    <n v="1"/>
    <n v="0"/>
    <n v="111.94"/>
    <x v="2"/>
  </r>
  <r>
    <s v="2023-10-20"/>
    <x v="10"/>
    <x v="3"/>
    <x v="1"/>
    <x v="1"/>
    <x v="264"/>
    <x v="266"/>
    <n v="547.02"/>
    <n v="5"/>
    <n v="0.2"/>
    <n v="-10.41"/>
    <x v="1"/>
  </r>
  <r>
    <s v="2023-01-20"/>
    <x v="2"/>
    <x v="3"/>
    <x v="1"/>
    <x v="6"/>
    <x v="265"/>
    <x v="267"/>
    <n v="341.71999999999997"/>
    <n v="5"/>
    <n v="0"/>
    <n v="49.1"/>
    <x v="1"/>
  </r>
  <r>
    <s v="2023-01-28"/>
    <x v="2"/>
    <x v="3"/>
    <x v="1"/>
    <x v="3"/>
    <x v="266"/>
    <x v="268"/>
    <n v="1052.06"/>
    <n v="7"/>
    <n v="0.05"/>
    <n v="50.21"/>
    <x v="0"/>
  </r>
  <r>
    <s v="2023-09-15"/>
    <x v="3"/>
    <x v="0"/>
    <x v="0"/>
    <x v="0"/>
    <x v="267"/>
    <x v="269"/>
    <n v="1131.3"/>
    <n v="1"/>
    <n v="0"/>
    <n v="248.21"/>
    <x v="1"/>
  </r>
  <r>
    <s v="2023-07-09"/>
    <x v="5"/>
    <x v="3"/>
    <x v="2"/>
    <x v="8"/>
    <x v="268"/>
    <x v="270"/>
    <n v="1114.6299999999999"/>
    <n v="2"/>
    <n v="0.15"/>
    <n v="-95.74"/>
    <x v="2"/>
  </r>
  <r>
    <s v="2023-07-24"/>
    <x v="5"/>
    <x v="3"/>
    <x v="0"/>
    <x v="10"/>
    <x v="269"/>
    <x v="271"/>
    <n v="1394.33"/>
    <n v="9"/>
    <n v="0.2"/>
    <n v="-2.48"/>
    <x v="1"/>
  </r>
  <r>
    <s v="2023-02-06"/>
    <x v="4"/>
    <x v="3"/>
    <x v="2"/>
    <x v="8"/>
    <x v="270"/>
    <x v="272"/>
    <n v="1183.5"/>
    <n v="7"/>
    <n v="0"/>
    <n v="225"/>
    <x v="2"/>
  </r>
  <r>
    <s v="2023-08-05"/>
    <x v="7"/>
    <x v="1"/>
    <x v="1"/>
    <x v="5"/>
    <x v="271"/>
    <x v="273"/>
    <n v="228.72"/>
    <n v="1"/>
    <n v="0.1"/>
    <n v="0.86"/>
    <x v="1"/>
  </r>
  <r>
    <s v="2023-01-01"/>
    <x v="2"/>
    <x v="2"/>
    <x v="1"/>
    <x v="1"/>
    <x v="272"/>
    <x v="274"/>
    <n v="1768.5500000000002"/>
    <n v="4"/>
    <n v="0"/>
    <n v="107.38"/>
    <x v="1"/>
  </r>
  <r>
    <s v="2023-06-12"/>
    <x v="0"/>
    <x v="3"/>
    <x v="2"/>
    <x v="9"/>
    <x v="273"/>
    <x v="275"/>
    <n v="1593.26"/>
    <n v="10"/>
    <n v="0.2"/>
    <n v="-46.37"/>
    <x v="0"/>
  </r>
  <r>
    <s v="2023-05-31"/>
    <x v="6"/>
    <x v="0"/>
    <x v="0"/>
    <x v="0"/>
    <x v="274"/>
    <x v="276"/>
    <n v="341.73"/>
    <n v="7"/>
    <n v="0.1"/>
    <n v="16.64"/>
    <x v="2"/>
  </r>
  <r>
    <s v="2023-12-29"/>
    <x v="11"/>
    <x v="3"/>
    <x v="0"/>
    <x v="10"/>
    <x v="275"/>
    <x v="277"/>
    <n v="800.08999999999992"/>
    <n v="3"/>
    <n v="0"/>
    <n v="319.02"/>
    <x v="0"/>
  </r>
  <r>
    <s v="2023-07-08"/>
    <x v="5"/>
    <x v="0"/>
    <x v="1"/>
    <x v="1"/>
    <x v="276"/>
    <x v="278"/>
    <n v="880.80000000000007"/>
    <n v="4"/>
    <n v="0.1"/>
    <n v="-24.59"/>
    <x v="1"/>
  </r>
  <r>
    <s v="2023-07-13"/>
    <x v="5"/>
    <x v="1"/>
    <x v="2"/>
    <x v="8"/>
    <x v="277"/>
    <x v="279"/>
    <n v="1411.78"/>
    <n v="7"/>
    <n v="0.1"/>
    <n v="-60.74"/>
    <x v="2"/>
  </r>
  <r>
    <s v="2023-01-17"/>
    <x v="2"/>
    <x v="0"/>
    <x v="1"/>
    <x v="3"/>
    <x v="278"/>
    <x v="280"/>
    <n v="1225.8200000000002"/>
    <n v="5"/>
    <n v="0.15"/>
    <n v="204.84"/>
    <x v="2"/>
  </r>
  <r>
    <s v="2023-08-17"/>
    <x v="7"/>
    <x v="3"/>
    <x v="2"/>
    <x v="4"/>
    <x v="279"/>
    <x v="281"/>
    <n v="789.33999999999992"/>
    <n v="10"/>
    <n v="0.05"/>
    <n v="98.22"/>
    <x v="0"/>
  </r>
  <r>
    <s v="2023-03-12"/>
    <x v="8"/>
    <x v="0"/>
    <x v="1"/>
    <x v="1"/>
    <x v="280"/>
    <x v="282"/>
    <n v="216.91"/>
    <n v="3"/>
    <n v="0"/>
    <n v="12.56"/>
    <x v="2"/>
  </r>
  <r>
    <s v="2023-02-14"/>
    <x v="4"/>
    <x v="2"/>
    <x v="2"/>
    <x v="4"/>
    <x v="281"/>
    <x v="283"/>
    <n v="194.44"/>
    <n v="1"/>
    <n v="0.2"/>
    <n v="-8.16"/>
    <x v="2"/>
  </r>
  <r>
    <s v="2023-04-28"/>
    <x v="1"/>
    <x v="0"/>
    <x v="0"/>
    <x v="2"/>
    <x v="282"/>
    <x v="284"/>
    <n v="1069.25"/>
    <n v="7"/>
    <n v="0.1"/>
    <n v="240.98"/>
    <x v="1"/>
  </r>
  <r>
    <s v="2023-06-08"/>
    <x v="0"/>
    <x v="2"/>
    <x v="1"/>
    <x v="6"/>
    <x v="283"/>
    <x v="285"/>
    <n v="1434.75"/>
    <n v="8"/>
    <n v="0"/>
    <n v="168.83"/>
    <x v="0"/>
  </r>
  <r>
    <s v="2023-06-09"/>
    <x v="0"/>
    <x v="1"/>
    <x v="2"/>
    <x v="7"/>
    <x v="284"/>
    <x v="286"/>
    <n v="729.25"/>
    <n v="10"/>
    <n v="0.1"/>
    <n v="165.56"/>
    <x v="2"/>
  </r>
  <r>
    <s v="2023-04-30"/>
    <x v="1"/>
    <x v="2"/>
    <x v="2"/>
    <x v="8"/>
    <x v="285"/>
    <x v="287"/>
    <n v="267.46000000000004"/>
    <n v="6"/>
    <n v="0.05"/>
    <n v="40.96"/>
    <x v="2"/>
  </r>
  <r>
    <s v="2023-06-08"/>
    <x v="0"/>
    <x v="2"/>
    <x v="1"/>
    <x v="3"/>
    <x v="286"/>
    <x v="288"/>
    <n v="471.87"/>
    <n v="6"/>
    <n v="0"/>
    <n v="86.01"/>
    <x v="0"/>
  </r>
  <r>
    <s v="2023-08-21"/>
    <x v="7"/>
    <x v="3"/>
    <x v="1"/>
    <x v="3"/>
    <x v="287"/>
    <x v="289"/>
    <n v="1305.1499999999999"/>
    <n v="4"/>
    <n v="0.2"/>
    <n v="-155.80000000000001"/>
    <x v="0"/>
  </r>
  <r>
    <s v="2023-06-30"/>
    <x v="0"/>
    <x v="0"/>
    <x v="1"/>
    <x v="3"/>
    <x v="288"/>
    <x v="290"/>
    <n v="1169.77"/>
    <n v="2"/>
    <n v="0"/>
    <n v="356.44"/>
    <x v="1"/>
  </r>
  <r>
    <s v="2023-10-07"/>
    <x v="10"/>
    <x v="2"/>
    <x v="1"/>
    <x v="3"/>
    <x v="289"/>
    <x v="291"/>
    <n v="938.46"/>
    <n v="3"/>
    <n v="0.2"/>
    <n v="103.99"/>
    <x v="2"/>
  </r>
  <r>
    <s v="2023-07-14"/>
    <x v="5"/>
    <x v="2"/>
    <x v="2"/>
    <x v="4"/>
    <x v="290"/>
    <x v="292"/>
    <n v="984.52"/>
    <n v="7"/>
    <n v="0.15"/>
    <n v="118.93"/>
    <x v="0"/>
  </r>
  <r>
    <s v="2023-11-03"/>
    <x v="9"/>
    <x v="0"/>
    <x v="2"/>
    <x v="4"/>
    <x v="291"/>
    <x v="293"/>
    <n v="1845.6299999999999"/>
    <n v="1"/>
    <n v="0.1"/>
    <n v="-75.55"/>
    <x v="2"/>
  </r>
  <r>
    <s v="2023-02-15"/>
    <x v="4"/>
    <x v="1"/>
    <x v="2"/>
    <x v="4"/>
    <x v="292"/>
    <x v="294"/>
    <n v="382.89"/>
    <n v="9"/>
    <n v="0.1"/>
    <n v="-10.9"/>
    <x v="1"/>
  </r>
  <r>
    <s v="2023-09-27"/>
    <x v="3"/>
    <x v="3"/>
    <x v="0"/>
    <x v="10"/>
    <x v="293"/>
    <x v="295"/>
    <n v="192.28"/>
    <n v="4"/>
    <n v="0.15"/>
    <n v="-9.76"/>
    <x v="1"/>
  </r>
  <r>
    <s v="2023-01-23"/>
    <x v="2"/>
    <x v="3"/>
    <x v="2"/>
    <x v="7"/>
    <x v="294"/>
    <x v="296"/>
    <n v="715.39"/>
    <n v="3"/>
    <n v="0"/>
    <n v="165.78"/>
    <x v="0"/>
  </r>
  <r>
    <s v="2023-03-31"/>
    <x v="8"/>
    <x v="2"/>
    <x v="0"/>
    <x v="10"/>
    <x v="113"/>
    <x v="297"/>
    <n v="386.56"/>
    <n v="1"/>
    <n v="0.15"/>
    <n v="44.69"/>
    <x v="2"/>
  </r>
  <r>
    <s v="2023-05-27"/>
    <x v="6"/>
    <x v="0"/>
    <x v="1"/>
    <x v="6"/>
    <x v="295"/>
    <x v="298"/>
    <n v="252.90000000000003"/>
    <n v="10"/>
    <n v="0"/>
    <n v="81.510000000000005"/>
    <x v="0"/>
  </r>
  <r>
    <s v="2023-04-27"/>
    <x v="1"/>
    <x v="1"/>
    <x v="2"/>
    <x v="8"/>
    <x v="296"/>
    <x v="299"/>
    <n v="291.83999999999997"/>
    <n v="3"/>
    <n v="0.2"/>
    <n v="-32.57"/>
    <x v="0"/>
  </r>
  <r>
    <s v="2023-03-18"/>
    <x v="8"/>
    <x v="2"/>
    <x v="1"/>
    <x v="3"/>
    <x v="297"/>
    <x v="300"/>
    <n v="152.35999999999999"/>
    <n v="6"/>
    <n v="0"/>
    <n v="34.96"/>
    <x v="2"/>
  </r>
  <r>
    <s v="2023-01-05"/>
    <x v="2"/>
    <x v="0"/>
    <x v="0"/>
    <x v="2"/>
    <x v="298"/>
    <x v="301"/>
    <n v="2089.67"/>
    <n v="6"/>
    <n v="0.15"/>
    <n v="-168.76"/>
    <x v="0"/>
  </r>
  <r>
    <s v="2023-01-20"/>
    <x v="2"/>
    <x v="2"/>
    <x v="1"/>
    <x v="1"/>
    <x v="299"/>
    <x v="302"/>
    <n v="1649.08"/>
    <n v="7"/>
    <n v="0.2"/>
    <n v="54.94"/>
    <x v="2"/>
  </r>
  <r>
    <s v="2023-02-08"/>
    <x v="4"/>
    <x v="0"/>
    <x v="0"/>
    <x v="2"/>
    <x v="300"/>
    <x v="303"/>
    <n v="985.29"/>
    <n v="2"/>
    <n v="0.2"/>
    <n v="-64.69"/>
    <x v="1"/>
  </r>
  <r>
    <s v="2023-01-27"/>
    <x v="2"/>
    <x v="0"/>
    <x v="0"/>
    <x v="11"/>
    <x v="301"/>
    <x v="304"/>
    <n v="691.04"/>
    <n v="7"/>
    <n v="0.1"/>
    <n v="117.31"/>
    <x v="0"/>
  </r>
  <r>
    <s v="2023-12-10"/>
    <x v="11"/>
    <x v="1"/>
    <x v="0"/>
    <x v="0"/>
    <x v="302"/>
    <x v="305"/>
    <n v="1644.2"/>
    <n v="2"/>
    <n v="0"/>
    <n v="114.26"/>
    <x v="1"/>
  </r>
  <r>
    <s v="2023-07-13"/>
    <x v="5"/>
    <x v="1"/>
    <x v="0"/>
    <x v="2"/>
    <x v="303"/>
    <x v="306"/>
    <n v="883.86"/>
    <n v="3"/>
    <n v="0"/>
    <n v="89.28"/>
    <x v="1"/>
  </r>
  <r>
    <s v="2023-07-02"/>
    <x v="5"/>
    <x v="0"/>
    <x v="2"/>
    <x v="4"/>
    <x v="304"/>
    <x v="307"/>
    <n v="524.06000000000006"/>
    <n v="9"/>
    <n v="0"/>
    <n v="40.159999999999997"/>
    <x v="2"/>
  </r>
  <r>
    <s v="2023-12-24"/>
    <x v="11"/>
    <x v="0"/>
    <x v="0"/>
    <x v="10"/>
    <x v="305"/>
    <x v="308"/>
    <n v="1482.96"/>
    <n v="4"/>
    <n v="0.15"/>
    <n v="79.03"/>
    <x v="0"/>
  </r>
  <r>
    <s v="2023-06-14"/>
    <x v="0"/>
    <x v="1"/>
    <x v="1"/>
    <x v="6"/>
    <x v="306"/>
    <x v="309"/>
    <n v="1456.2"/>
    <n v="3"/>
    <n v="0.1"/>
    <n v="-62.13"/>
    <x v="0"/>
  </r>
  <r>
    <s v="2023-02-25"/>
    <x v="4"/>
    <x v="0"/>
    <x v="1"/>
    <x v="5"/>
    <x v="307"/>
    <x v="310"/>
    <n v="290.74"/>
    <n v="3"/>
    <n v="0.2"/>
    <n v="20.62"/>
    <x v="1"/>
  </r>
  <r>
    <s v="2023-10-13"/>
    <x v="10"/>
    <x v="3"/>
    <x v="0"/>
    <x v="0"/>
    <x v="308"/>
    <x v="311"/>
    <n v="598.94000000000005"/>
    <n v="4"/>
    <n v="0.1"/>
    <n v="30.5"/>
    <x v="2"/>
  </r>
  <r>
    <s v="2023-08-10"/>
    <x v="7"/>
    <x v="3"/>
    <x v="2"/>
    <x v="7"/>
    <x v="309"/>
    <x v="312"/>
    <n v="359.09"/>
    <n v="6"/>
    <n v="0.2"/>
    <n v="-16.27"/>
    <x v="2"/>
  </r>
  <r>
    <s v="2023-11-06"/>
    <x v="9"/>
    <x v="0"/>
    <x v="1"/>
    <x v="5"/>
    <x v="310"/>
    <x v="313"/>
    <n v="1853.5600000000002"/>
    <n v="7"/>
    <n v="0.1"/>
    <n v="-18.16"/>
    <x v="2"/>
  </r>
  <r>
    <s v="2023-06-29"/>
    <x v="0"/>
    <x v="1"/>
    <x v="1"/>
    <x v="1"/>
    <x v="311"/>
    <x v="314"/>
    <n v="1795.9699999999998"/>
    <n v="1"/>
    <n v="0.2"/>
    <n v="-222.89"/>
    <x v="1"/>
  </r>
  <r>
    <s v="2023-08-16"/>
    <x v="7"/>
    <x v="0"/>
    <x v="2"/>
    <x v="4"/>
    <x v="312"/>
    <x v="315"/>
    <n v="362.28999999999996"/>
    <n v="1"/>
    <n v="0.15"/>
    <n v="14.92"/>
    <x v="2"/>
  </r>
  <r>
    <s v="2023-08-24"/>
    <x v="7"/>
    <x v="0"/>
    <x v="0"/>
    <x v="10"/>
    <x v="313"/>
    <x v="316"/>
    <n v="717.31999999999994"/>
    <n v="3"/>
    <n v="0.1"/>
    <n v="169.55"/>
    <x v="2"/>
  </r>
  <r>
    <s v="2023-10-20"/>
    <x v="10"/>
    <x v="0"/>
    <x v="0"/>
    <x v="2"/>
    <x v="314"/>
    <x v="317"/>
    <n v="592.75"/>
    <n v="2"/>
    <n v="0"/>
    <n v="82.21"/>
    <x v="0"/>
  </r>
  <r>
    <s v="2023-03-18"/>
    <x v="8"/>
    <x v="1"/>
    <x v="1"/>
    <x v="3"/>
    <x v="315"/>
    <x v="318"/>
    <n v="1549.6899999999998"/>
    <n v="1"/>
    <n v="0.15"/>
    <n v="57.93"/>
    <x v="2"/>
  </r>
  <r>
    <s v="2023-12-01"/>
    <x v="11"/>
    <x v="0"/>
    <x v="1"/>
    <x v="5"/>
    <x v="316"/>
    <x v="319"/>
    <n v="499.58000000000004"/>
    <n v="10"/>
    <n v="0"/>
    <n v="116.25"/>
    <x v="2"/>
  </r>
  <r>
    <s v="2023-05-03"/>
    <x v="6"/>
    <x v="1"/>
    <x v="0"/>
    <x v="10"/>
    <x v="317"/>
    <x v="320"/>
    <n v="715.38000000000011"/>
    <n v="1"/>
    <n v="0.15"/>
    <n v="-4.9400000000000004"/>
    <x v="0"/>
  </r>
  <r>
    <s v="2023-03-28"/>
    <x v="8"/>
    <x v="3"/>
    <x v="0"/>
    <x v="2"/>
    <x v="318"/>
    <x v="321"/>
    <n v="967.87"/>
    <n v="4"/>
    <n v="0.2"/>
    <n v="-28.51"/>
    <x v="1"/>
  </r>
  <r>
    <s v="2023-02-06"/>
    <x v="4"/>
    <x v="0"/>
    <x v="1"/>
    <x v="6"/>
    <x v="319"/>
    <x v="322"/>
    <n v="1268.04"/>
    <n v="7"/>
    <n v="0.05"/>
    <n v="363.12"/>
    <x v="2"/>
  </r>
  <r>
    <s v="2023-10-04"/>
    <x v="10"/>
    <x v="2"/>
    <x v="2"/>
    <x v="4"/>
    <x v="320"/>
    <x v="323"/>
    <n v="874.12"/>
    <n v="7"/>
    <n v="0.1"/>
    <n v="60.49"/>
    <x v="1"/>
  </r>
  <r>
    <s v="2023-06-14"/>
    <x v="0"/>
    <x v="2"/>
    <x v="0"/>
    <x v="0"/>
    <x v="321"/>
    <x v="324"/>
    <n v="1959.04"/>
    <n v="1"/>
    <n v="0.2"/>
    <n v="-213.22"/>
    <x v="2"/>
  </r>
  <r>
    <s v="2023-03-22"/>
    <x v="8"/>
    <x v="2"/>
    <x v="2"/>
    <x v="4"/>
    <x v="322"/>
    <x v="325"/>
    <n v="433.14000000000004"/>
    <n v="5"/>
    <n v="0.1"/>
    <n v="52.83"/>
    <x v="1"/>
  </r>
  <r>
    <s v="2023-07-06"/>
    <x v="5"/>
    <x v="2"/>
    <x v="0"/>
    <x v="2"/>
    <x v="323"/>
    <x v="326"/>
    <n v="1211.46"/>
    <n v="5"/>
    <n v="0"/>
    <n v="155.11000000000001"/>
    <x v="1"/>
  </r>
  <r>
    <s v="2023-07-03"/>
    <x v="5"/>
    <x v="0"/>
    <x v="1"/>
    <x v="5"/>
    <x v="324"/>
    <x v="327"/>
    <n v="1943.8200000000002"/>
    <n v="10"/>
    <n v="0.1"/>
    <n v="-44.42"/>
    <x v="0"/>
  </r>
  <r>
    <s v="2023-09-19"/>
    <x v="3"/>
    <x v="3"/>
    <x v="0"/>
    <x v="0"/>
    <x v="325"/>
    <x v="328"/>
    <n v="856.53000000000009"/>
    <n v="2"/>
    <n v="0.2"/>
    <n v="-41.21"/>
    <x v="1"/>
  </r>
  <r>
    <s v="2023-05-21"/>
    <x v="6"/>
    <x v="2"/>
    <x v="1"/>
    <x v="1"/>
    <x v="326"/>
    <x v="329"/>
    <n v="1472.24"/>
    <n v="8"/>
    <n v="0.2"/>
    <n v="-5.14"/>
    <x v="2"/>
  </r>
  <r>
    <s v="2023-01-28"/>
    <x v="2"/>
    <x v="0"/>
    <x v="2"/>
    <x v="9"/>
    <x v="327"/>
    <x v="330"/>
    <n v="1701.49"/>
    <n v="2"/>
    <n v="0"/>
    <n v="289.8"/>
    <x v="2"/>
  </r>
  <r>
    <s v="2023-10-16"/>
    <x v="10"/>
    <x v="0"/>
    <x v="2"/>
    <x v="9"/>
    <x v="328"/>
    <x v="331"/>
    <n v="1492.68"/>
    <n v="7"/>
    <n v="0"/>
    <n v="482.73"/>
    <x v="1"/>
  </r>
  <r>
    <s v="2023-03-28"/>
    <x v="8"/>
    <x v="3"/>
    <x v="2"/>
    <x v="4"/>
    <x v="329"/>
    <x v="332"/>
    <n v="1293.58"/>
    <n v="3"/>
    <n v="0.2"/>
    <n v="7.65"/>
    <x v="1"/>
  </r>
  <r>
    <s v="2023-04-07"/>
    <x v="1"/>
    <x v="1"/>
    <x v="1"/>
    <x v="1"/>
    <x v="330"/>
    <x v="333"/>
    <n v="157.17999999999998"/>
    <n v="9"/>
    <n v="0.15"/>
    <n v="-13.29"/>
    <x v="1"/>
  </r>
  <r>
    <s v="2023-04-17"/>
    <x v="1"/>
    <x v="0"/>
    <x v="0"/>
    <x v="11"/>
    <x v="331"/>
    <x v="334"/>
    <n v="1789.2"/>
    <n v="5"/>
    <n v="0.1"/>
    <n v="9.82"/>
    <x v="0"/>
  </r>
  <r>
    <s v="2023-08-25"/>
    <x v="7"/>
    <x v="3"/>
    <x v="1"/>
    <x v="5"/>
    <x v="242"/>
    <x v="335"/>
    <n v="913.44"/>
    <n v="4"/>
    <n v="0.15"/>
    <n v="81.78"/>
    <x v="0"/>
  </r>
  <r>
    <s v="2023-07-02"/>
    <x v="5"/>
    <x v="3"/>
    <x v="1"/>
    <x v="5"/>
    <x v="332"/>
    <x v="336"/>
    <n v="945"/>
    <n v="10"/>
    <n v="0.2"/>
    <n v="-18.45"/>
    <x v="2"/>
  </r>
  <r>
    <s v="2023-12-11"/>
    <x v="11"/>
    <x v="2"/>
    <x v="1"/>
    <x v="6"/>
    <x v="261"/>
    <x v="337"/>
    <n v="1834.09"/>
    <n v="4"/>
    <n v="0.2"/>
    <n v="-162.30000000000001"/>
    <x v="0"/>
  </r>
  <r>
    <s v="2023-09-28"/>
    <x v="3"/>
    <x v="2"/>
    <x v="2"/>
    <x v="9"/>
    <x v="333"/>
    <x v="338"/>
    <n v="1150.3399999999999"/>
    <n v="3"/>
    <n v="0.05"/>
    <n v="344.98"/>
    <x v="1"/>
  </r>
  <r>
    <s v="2023-03-10"/>
    <x v="8"/>
    <x v="2"/>
    <x v="1"/>
    <x v="1"/>
    <x v="334"/>
    <x v="339"/>
    <n v="1059.93"/>
    <n v="6"/>
    <n v="0"/>
    <n v="74.760000000000005"/>
    <x v="2"/>
  </r>
  <r>
    <s v="2023-07-11"/>
    <x v="5"/>
    <x v="0"/>
    <x v="2"/>
    <x v="7"/>
    <x v="335"/>
    <x v="340"/>
    <n v="637.78"/>
    <n v="4"/>
    <n v="0.1"/>
    <n v="-6.52"/>
    <x v="0"/>
  </r>
  <r>
    <s v="2023-11-29"/>
    <x v="9"/>
    <x v="0"/>
    <x v="1"/>
    <x v="6"/>
    <x v="336"/>
    <x v="341"/>
    <n v="632.54000000000008"/>
    <n v="10"/>
    <n v="0.1"/>
    <n v="132.65"/>
    <x v="0"/>
  </r>
  <r>
    <s v="2023-10-04"/>
    <x v="10"/>
    <x v="3"/>
    <x v="0"/>
    <x v="0"/>
    <x v="337"/>
    <x v="342"/>
    <n v="379.09999999999997"/>
    <n v="8"/>
    <n v="0.1"/>
    <n v="55.54"/>
    <x v="0"/>
  </r>
  <r>
    <s v="2023-05-11"/>
    <x v="6"/>
    <x v="1"/>
    <x v="1"/>
    <x v="6"/>
    <x v="338"/>
    <x v="343"/>
    <n v="1682.08"/>
    <n v="7"/>
    <n v="0.15"/>
    <n v="261.5"/>
    <x v="1"/>
  </r>
  <r>
    <s v="2023-09-02"/>
    <x v="3"/>
    <x v="1"/>
    <x v="1"/>
    <x v="3"/>
    <x v="339"/>
    <x v="344"/>
    <n v="1263.2"/>
    <n v="10"/>
    <n v="0.1"/>
    <n v="76.849999999999994"/>
    <x v="0"/>
  </r>
  <r>
    <s v="2023-10-11"/>
    <x v="10"/>
    <x v="2"/>
    <x v="2"/>
    <x v="4"/>
    <x v="340"/>
    <x v="345"/>
    <n v="1478.4"/>
    <n v="9"/>
    <n v="0.05"/>
    <n v="3.8"/>
    <x v="1"/>
  </r>
  <r>
    <s v="2023-06-26"/>
    <x v="0"/>
    <x v="2"/>
    <x v="0"/>
    <x v="2"/>
    <x v="341"/>
    <x v="346"/>
    <n v="364.67999999999995"/>
    <n v="7"/>
    <n v="0.2"/>
    <n v="6.91"/>
    <x v="2"/>
  </r>
  <r>
    <s v="2023-03-30"/>
    <x v="8"/>
    <x v="2"/>
    <x v="0"/>
    <x v="10"/>
    <x v="342"/>
    <x v="347"/>
    <n v="937.55"/>
    <n v="7"/>
    <n v="0.15"/>
    <n v="98.52"/>
    <x v="0"/>
  </r>
  <r>
    <s v="2023-07-17"/>
    <x v="5"/>
    <x v="1"/>
    <x v="1"/>
    <x v="3"/>
    <x v="343"/>
    <x v="348"/>
    <n v="879.28"/>
    <n v="10"/>
    <n v="0.2"/>
    <n v="95.72"/>
    <x v="1"/>
  </r>
  <r>
    <s v="2023-12-22"/>
    <x v="11"/>
    <x v="1"/>
    <x v="0"/>
    <x v="2"/>
    <x v="344"/>
    <x v="349"/>
    <n v="1165.52"/>
    <n v="1"/>
    <n v="0.2"/>
    <n v="111.39"/>
    <x v="0"/>
  </r>
  <r>
    <s v="2023-03-18"/>
    <x v="8"/>
    <x v="3"/>
    <x v="0"/>
    <x v="10"/>
    <x v="345"/>
    <x v="350"/>
    <n v="812.58999999999992"/>
    <n v="10"/>
    <n v="0.15"/>
    <n v="97.43"/>
    <x v="0"/>
  </r>
  <r>
    <s v="2023-03-31"/>
    <x v="8"/>
    <x v="2"/>
    <x v="0"/>
    <x v="11"/>
    <x v="346"/>
    <x v="351"/>
    <n v="885.28"/>
    <n v="2"/>
    <n v="0.15"/>
    <n v="8.5299999999999994"/>
    <x v="2"/>
  </r>
  <r>
    <s v="2023-04-28"/>
    <x v="1"/>
    <x v="1"/>
    <x v="1"/>
    <x v="6"/>
    <x v="347"/>
    <x v="352"/>
    <n v="1801.16"/>
    <n v="5"/>
    <n v="0.1"/>
    <n v="106.26"/>
    <x v="0"/>
  </r>
  <r>
    <s v="2023-07-12"/>
    <x v="5"/>
    <x v="1"/>
    <x v="0"/>
    <x v="2"/>
    <x v="348"/>
    <x v="353"/>
    <n v="709.52"/>
    <n v="9"/>
    <n v="0"/>
    <n v="44.12"/>
    <x v="2"/>
  </r>
  <r>
    <s v="2023-02-08"/>
    <x v="4"/>
    <x v="1"/>
    <x v="0"/>
    <x v="10"/>
    <x v="349"/>
    <x v="354"/>
    <n v="1196.95"/>
    <n v="8"/>
    <n v="0.05"/>
    <n v="104.22"/>
    <x v="0"/>
  </r>
  <r>
    <s v="2023-05-18"/>
    <x v="6"/>
    <x v="3"/>
    <x v="0"/>
    <x v="2"/>
    <x v="350"/>
    <x v="355"/>
    <n v="1041.22"/>
    <n v="2"/>
    <n v="0.2"/>
    <n v="109.76"/>
    <x v="0"/>
  </r>
  <r>
    <s v="2023-03-13"/>
    <x v="8"/>
    <x v="3"/>
    <x v="1"/>
    <x v="1"/>
    <x v="351"/>
    <x v="356"/>
    <n v="62.339999999999996"/>
    <n v="1"/>
    <n v="0.1"/>
    <n v="-0.51"/>
    <x v="1"/>
  </r>
  <r>
    <s v="2023-12-28"/>
    <x v="11"/>
    <x v="2"/>
    <x v="2"/>
    <x v="7"/>
    <x v="352"/>
    <x v="357"/>
    <n v="87.58"/>
    <n v="6"/>
    <n v="0.15"/>
    <n v="12.7"/>
    <x v="1"/>
  </r>
  <r>
    <s v="2023-01-30"/>
    <x v="2"/>
    <x v="2"/>
    <x v="0"/>
    <x v="0"/>
    <x v="353"/>
    <x v="358"/>
    <n v="1264.7"/>
    <n v="10"/>
    <n v="0.05"/>
    <n v="238.52"/>
    <x v="1"/>
  </r>
  <r>
    <s v="2023-05-07"/>
    <x v="6"/>
    <x v="0"/>
    <x v="2"/>
    <x v="8"/>
    <x v="354"/>
    <x v="359"/>
    <n v="109.42000000000002"/>
    <n v="2"/>
    <n v="0.05"/>
    <n v="19.91"/>
    <x v="0"/>
  </r>
  <r>
    <s v="2023-08-24"/>
    <x v="7"/>
    <x v="1"/>
    <x v="2"/>
    <x v="8"/>
    <x v="355"/>
    <x v="360"/>
    <n v="1499.93"/>
    <n v="8"/>
    <n v="0.2"/>
    <n v="56.76"/>
    <x v="1"/>
  </r>
  <r>
    <s v="2023-08-27"/>
    <x v="7"/>
    <x v="3"/>
    <x v="2"/>
    <x v="7"/>
    <x v="356"/>
    <x v="361"/>
    <n v="1413.1699999999998"/>
    <n v="7"/>
    <n v="0.15"/>
    <n v="185.68"/>
    <x v="0"/>
  </r>
  <r>
    <s v="2023-10-25"/>
    <x v="10"/>
    <x v="0"/>
    <x v="2"/>
    <x v="8"/>
    <x v="357"/>
    <x v="362"/>
    <n v="886.15"/>
    <n v="4"/>
    <n v="0.1"/>
    <n v="18.239999999999998"/>
    <x v="1"/>
  </r>
  <r>
    <s v="2023-05-20"/>
    <x v="6"/>
    <x v="0"/>
    <x v="2"/>
    <x v="8"/>
    <x v="358"/>
    <x v="363"/>
    <n v="215.16"/>
    <n v="5"/>
    <n v="0.1"/>
    <n v="19.850000000000001"/>
    <x v="1"/>
  </r>
  <r>
    <s v="2023-09-11"/>
    <x v="3"/>
    <x v="3"/>
    <x v="0"/>
    <x v="2"/>
    <x v="359"/>
    <x v="364"/>
    <n v="1233.1899999999998"/>
    <n v="10"/>
    <n v="0.2"/>
    <n v="-84.36"/>
    <x v="1"/>
  </r>
  <r>
    <s v="2023-09-14"/>
    <x v="3"/>
    <x v="1"/>
    <x v="2"/>
    <x v="8"/>
    <x v="360"/>
    <x v="365"/>
    <n v="1527.77"/>
    <n v="6"/>
    <n v="0.1"/>
    <n v="121.62"/>
    <x v="2"/>
  </r>
  <r>
    <s v="2023-02-14"/>
    <x v="4"/>
    <x v="2"/>
    <x v="0"/>
    <x v="10"/>
    <x v="361"/>
    <x v="366"/>
    <n v="893.49"/>
    <n v="6"/>
    <n v="0.2"/>
    <n v="-45.72"/>
    <x v="2"/>
  </r>
  <r>
    <s v="2023-07-01"/>
    <x v="5"/>
    <x v="3"/>
    <x v="1"/>
    <x v="1"/>
    <x v="362"/>
    <x v="367"/>
    <n v="555.57000000000005"/>
    <n v="7"/>
    <n v="0.05"/>
    <n v="21.81"/>
    <x v="1"/>
  </r>
  <r>
    <s v="2023-01-29"/>
    <x v="2"/>
    <x v="0"/>
    <x v="1"/>
    <x v="3"/>
    <x v="363"/>
    <x v="368"/>
    <n v="941.84"/>
    <n v="4"/>
    <n v="0.1"/>
    <n v="32.93"/>
    <x v="0"/>
  </r>
  <r>
    <s v="2023-11-03"/>
    <x v="9"/>
    <x v="1"/>
    <x v="0"/>
    <x v="2"/>
    <x v="364"/>
    <x v="369"/>
    <n v="52.980000000000004"/>
    <n v="8"/>
    <n v="0.2"/>
    <n v="-0.96"/>
    <x v="1"/>
  </r>
  <r>
    <s v="2023-05-19"/>
    <x v="6"/>
    <x v="0"/>
    <x v="1"/>
    <x v="1"/>
    <x v="365"/>
    <x v="370"/>
    <n v="665.58"/>
    <n v="9"/>
    <n v="0.2"/>
    <n v="55.41"/>
    <x v="2"/>
  </r>
  <r>
    <s v="2023-08-31"/>
    <x v="7"/>
    <x v="2"/>
    <x v="2"/>
    <x v="8"/>
    <x v="366"/>
    <x v="371"/>
    <n v="1308.47"/>
    <n v="3"/>
    <n v="0.05"/>
    <n v="44.53"/>
    <x v="1"/>
  </r>
  <r>
    <s v="2023-12-17"/>
    <x v="11"/>
    <x v="0"/>
    <x v="1"/>
    <x v="6"/>
    <x v="367"/>
    <x v="372"/>
    <n v="1337.06"/>
    <n v="6"/>
    <n v="0.2"/>
    <n v="-124.1"/>
    <x v="2"/>
  </r>
  <r>
    <s v="2023-04-23"/>
    <x v="1"/>
    <x v="3"/>
    <x v="0"/>
    <x v="0"/>
    <x v="368"/>
    <x v="373"/>
    <n v="372.34000000000003"/>
    <n v="7"/>
    <n v="0.05"/>
    <n v="65.27"/>
    <x v="1"/>
  </r>
  <r>
    <s v="2023-11-19"/>
    <x v="9"/>
    <x v="2"/>
    <x v="1"/>
    <x v="1"/>
    <x v="369"/>
    <x v="374"/>
    <n v="905.95"/>
    <n v="9"/>
    <n v="0.1"/>
    <n v="157.5"/>
    <x v="2"/>
  </r>
  <r>
    <s v="2023-09-01"/>
    <x v="3"/>
    <x v="0"/>
    <x v="2"/>
    <x v="9"/>
    <x v="370"/>
    <x v="375"/>
    <n v="1374.99"/>
    <n v="8"/>
    <n v="0"/>
    <n v="511.28"/>
    <x v="0"/>
  </r>
  <r>
    <s v="2023-03-23"/>
    <x v="8"/>
    <x v="1"/>
    <x v="1"/>
    <x v="3"/>
    <x v="371"/>
    <x v="376"/>
    <n v="596.79999999999995"/>
    <n v="10"/>
    <n v="0.1"/>
    <n v="146.06"/>
    <x v="0"/>
  </r>
  <r>
    <s v="2023-08-22"/>
    <x v="7"/>
    <x v="3"/>
    <x v="1"/>
    <x v="3"/>
    <x v="372"/>
    <x v="377"/>
    <n v="557.30999999999995"/>
    <n v="3"/>
    <n v="0.05"/>
    <n v="81.72"/>
    <x v="2"/>
  </r>
  <r>
    <s v="2023-05-07"/>
    <x v="6"/>
    <x v="2"/>
    <x v="1"/>
    <x v="5"/>
    <x v="373"/>
    <x v="378"/>
    <n v="1371.28"/>
    <n v="8"/>
    <n v="0.1"/>
    <n v="0.13"/>
    <x v="1"/>
  </r>
  <r>
    <s v="2023-05-08"/>
    <x v="6"/>
    <x v="3"/>
    <x v="1"/>
    <x v="6"/>
    <x v="374"/>
    <x v="379"/>
    <n v="769.31999999999994"/>
    <n v="7"/>
    <n v="0.2"/>
    <n v="59.45"/>
    <x v="2"/>
  </r>
  <r>
    <s v="2023-10-15"/>
    <x v="10"/>
    <x v="3"/>
    <x v="2"/>
    <x v="9"/>
    <x v="375"/>
    <x v="380"/>
    <n v="1470.8700000000001"/>
    <n v="3"/>
    <n v="0.15"/>
    <n v="-112.99"/>
    <x v="0"/>
  </r>
  <r>
    <s v="2023-06-02"/>
    <x v="0"/>
    <x v="3"/>
    <x v="0"/>
    <x v="2"/>
    <x v="376"/>
    <x v="381"/>
    <n v="896.93000000000006"/>
    <n v="9"/>
    <n v="0.2"/>
    <n v="-43.82"/>
    <x v="2"/>
  </r>
  <r>
    <s v="2023-08-13"/>
    <x v="7"/>
    <x v="2"/>
    <x v="1"/>
    <x v="3"/>
    <x v="377"/>
    <x v="382"/>
    <n v="136.08000000000001"/>
    <n v="4"/>
    <n v="0.15"/>
    <n v="-6.15"/>
    <x v="0"/>
  </r>
  <r>
    <s v="2023-07-16"/>
    <x v="5"/>
    <x v="0"/>
    <x v="0"/>
    <x v="2"/>
    <x v="378"/>
    <x v="383"/>
    <n v="1501.53"/>
    <n v="7"/>
    <n v="0"/>
    <n v="450.07"/>
    <x v="1"/>
  </r>
  <r>
    <s v="2023-11-02"/>
    <x v="9"/>
    <x v="3"/>
    <x v="0"/>
    <x v="2"/>
    <x v="379"/>
    <x v="384"/>
    <n v="882.58"/>
    <n v="6"/>
    <n v="0.05"/>
    <n v="235.41"/>
    <x v="1"/>
  </r>
  <r>
    <s v="2023-03-02"/>
    <x v="8"/>
    <x v="0"/>
    <x v="2"/>
    <x v="4"/>
    <x v="380"/>
    <x v="385"/>
    <n v="610.17000000000007"/>
    <n v="3"/>
    <n v="0.05"/>
    <n v="191.53"/>
    <x v="1"/>
  </r>
  <r>
    <s v="2023-08-15"/>
    <x v="7"/>
    <x v="1"/>
    <x v="0"/>
    <x v="10"/>
    <x v="200"/>
    <x v="386"/>
    <n v="1135.77"/>
    <n v="7"/>
    <n v="0.1"/>
    <n v="-4.33"/>
    <x v="0"/>
  </r>
  <r>
    <s v="2023-05-08"/>
    <x v="6"/>
    <x v="3"/>
    <x v="0"/>
    <x v="0"/>
    <x v="381"/>
    <x v="387"/>
    <n v="2068.02"/>
    <n v="8"/>
    <n v="0.15"/>
    <n v="-86.64"/>
    <x v="0"/>
  </r>
  <r>
    <s v="2023-07-28"/>
    <x v="5"/>
    <x v="3"/>
    <x v="2"/>
    <x v="7"/>
    <x v="382"/>
    <x v="388"/>
    <n v="299.16999999999996"/>
    <n v="10"/>
    <n v="0.2"/>
    <n v="2.54"/>
    <x v="0"/>
  </r>
  <r>
    <s v="2023-01-01"/>
    <x v="2"/>
    <x v="3"/>
    <x v="1"/>
    <x v="6"/>
    <x v="383"/>
    <x v="389"/>
    <n v="606.54000000000008"/>
    <n v="10"/>
    <n v="0.05"/>
    <n v="29.31"/>
    <x v="2"/>
  </r>
  <r>
    <s v="2023-09-02"/>
    <x v="3"/>
    <x v="2"/>
    <x v="0"/>
    <x v="2"/>
    <x v="384"/>
    <x v="390"/>
    <n v="1036.5"/>
    <n v="2"/>
    <n v="0.05"/>
    <n v="125.09"/>
    <x v="0"/>
  </r>
  <r>
    <s v="2023-03-04"/>
    <x v="8"/>
    <x v="0"/>
    <x v="1"/>
    <x v="1"/>
    <x v="165"/>
    <x v="391"/>
    <n v="445.02"/>
    <n v="6"/>
    <n v="0.05"/>
    <n v="66.22"/>
    <x v="1"/>
  </r>
  <r>
    <s v="2023-03-21"/>
    <x v="8"/>
    <x v="2"/>
    <x v="2"/>
    <x v="8"/>
    <x v="385"/>
    <x v="392"/>
    <n v="1156.1000000000001"/>
    <n v="6"/>
    <n v="0.05"/>
    <n v="127.56"/>
    <x v="0"/>
  </r>
  <r>
    <s v="2023-02-13"/>
    <x v="4"/>
    <x v="2"/>
    <x v="1"/>
    <x v="6"/>
    <x v="386"/>
    <x v="393"/>
    <n v="1478.45"/>
    <n v="1"/>
    <n v="0.1"/>
    <n v="352.97"/>
    <x v="1"/>
  </r>
  <r>
    <s v="2023-03-28"/>
    <x v="8"/>
    <x v="3"/>
    <x v="0"/>
    <x v="11"/>
    <x v="387"/>
    <x v="394"/>
    <n v="576.54999999999995"/>
    <n v="3"/>
    <n v="0.05"/>
    <n v="176.18"/>
    <x v="2"/>
  </r>
  <r>
    <s v="2023-09-17"/>
    <x v="3"/>
    <x v="0"/>
    <x v="0"/>
    <x v="2"/>
    <x v="388"/>
    <x v="395"/>
    <n v="1376.91"/>
    <n v="6"/>
    <n v="0.15"/>
    <n v="-49.77"/>
    <x v="2"/>
  </r>
  <r>
    <s v="2023-10-17"/>
    <x v="10"/>
    <x v="1"/>
    <x v="1"/>
    <x v="5"/>
    <x v="389"/>
    <x v="396"/>
    <n v="428.07"/>
    <n v="7"/>
    <n v="0.1"/>
    <n v="82.5"/>
    <x v="2"/>
  </r>
  <r>
    <s v="2023-09-13"/>
    <x v="3"/>
    <x v="2"/>
    <x v="2"/>
    <x v="8"/>
    <x v="390"/>
    <x v="397"/>
    <n v="1863.96"/>
    <n v="2"/>
    <n v="0.1"/>
    <n v="1.22"/>
    <x v="0"/>
  </r>
  <r>
    <s v="2023-01-22"/>
    <x v="2"/>
    <x v="1"/>
    <x v="2"/>
    <x v="4"/>
    <x v="391"/>
    <x v="398"/>
    <n v="1370.08"/>
    <n v="2"/>
    <n v="0"/>
    <n v="131.44999999999999"/>
    <x v="0"/>
  </r>
  <r>
    <s v="2023-08-17"/>
    <x v="7"/>
    <x v="2"/>
    <x v="2"/>
    <x v="9"/>
    <x v="392"/>
    <x v="399"/>
    <n v="185.45"/>
    <n v="1"/>
    <n v="0.15"/>
    <n v="26.58"/>
    <x v="0"/>
  </r>
  <r>
    <s v="2023-09-03"/>
    <x v="3"/>
    <x v="3"/>
    <x v="1"/>
    <x v="6"/>
    <x v="393"/>
    <x v="400"/>
    <n v="1203.26"/>
    <n v="5"/>
    <n v="0.1"/>
    <n v="-9.7100000000000009"/>
    <x v="2"/>
  </r>
  <r>
    <s v="2023-02-17"/>
    <x v="4"/>
    <x v="2"/>
    <x v="0"/>
    <x v="0"/>
    <x v="394"/>
    <x v="401"/>
    <n v="1620.06"/>
    <n v="8"/>
    <n v="0.1"/>
    <n v="320.86"/>
    <x v="1"/>
  </r>
  <r>
    <s v="2023-02-02"/>
    <x v="4"/>
    <x v="3"/>
    <x v="0"/>
    <x v="11"/>
    <x v="395"/>
    <x v="402"/>
    <n v="356.68"/>
    <n v="4"/>
    <n v="0"/>
    <n v="106.05"/>
    <x v="1"/>
  </r>
  <r>
    <s v="2023-05-04"/>
    <x v="6"/>
    <x v="0"/>
    <x v="2"/>
    <x v="8"/>
    <x v="396"/>
    <x v="403"/>
    <n v="677.02"/>
    <n v="8"/>
    <n v="0.15"/>
    <n v="13.74"/>
    <x v="0"/>
  </r>
  <r>
    <s v="2023-06-08"/>
    <x v="0"/>
    <x v="2"/>
    <x v="1"/>
    <x v="1"/>
    <x v="397"/>
    <x v="404"/>
    <n v="1507.82"/>
    <n v="8"/>
    <n v="0"/>
    <n v="90.54"/>
    <x v="0"/>
  </r>
  <r>
    <s v="2023-08-03"/>
    <x v="7"/>
    <x v="1"/>
    <x v="0"/>
    <x v="2"/>
    <x v="398"/>
    <x v="405"/>
    <n v="299.22999999999996"/>
    <n v="6"/>
    <n v="0"/>
    <n v="116.67"/>
    <x v="2"/>
  </r>
  <r>
    <s v="2023-06-09"/>
    <x v="0"/>
    <x v="2"/>
    <x v="2"/>
    <x v="9"/>
    <x v="399"/>
    <x v="406"/>
    <n v="1795.52"/>
    <n v="1"/>
    <n v="0.15"/>
    <n v="-25.08"/>
    <x v="2"/>
  </r>
  <r>
    <s v="2023-05-24"/>
    <x v="6"/>
    <x v="0"/>
    <x v="0"/>
    <x v="10"/>
    <x v="400"/>
    <x v="407"/>
    <n v="91.259999999999991"/>
    <n v="9"/>
    <n v="0"/>
    <n v="30.23"/>
    <x v="1"/>
  </r>
  <r>
    <s v="2023-12-03"/>
    <x v="11"/>
    <x v="2"/>
    <x v="1"/>
    <x v="3"/>
    <x v="401"/>
    <x v="408"/>
    <n v="1062.68"/>
    <n v="4"/>
    <n v="0.2"/>
    <n v="32.54"/>
    <x v="1"/>
  </r>
  <r>
    <s v="2023-09-05"/>
    <x v="3"/>
    <x v="3"/>
    <x v="2"/>
    <x v="7"/>
    <x v="402"/>
    <x v="409"/>
    <n v="100.35"/>
    <n v="9"/>
    <n v="0.05"/>
    <n v="9.93"/>
    <x v="0"/>
  </r>
  <r>
    <s v="2023-05-30"/>
    <x v="6"/>
    <x v="1"/>
    <x v="0"/>
    <x v="11"/>
    <x v="403"/>
    <x v="410"/>
    <n v="556.78000000000009"/>
    <n v="4"/>
    <n v="0.1"/>
    <n v="36.43"/>
    <x v="0"/>
  </r>
  <r>
    <s v="2023-11-03"/>
    <x v="9"/>
    <x v="1"/>
    <x v="0"/>
    <x v="11"/>
    <x v="404"/>
    <x v="411"/>
    <n v="1674.3999999999999"/>
    <n v="8"/>
    <n v="0.2"/>
    <n v="-153.78"/>
    <x v="0"/>
  </r>
  <r>
    <s v="2023-02-05"/>
    <x v="4"/>
    <x v="1"/>
    <x v="2"/>
    <x v="9"/>
    <x v="405"/>
    <x v="412"/>
    <n v="348.21"/>
    <n v="2"/>
    <n v="0.2"/>
    <n v="1.22"/>
    <x v="0"/>
  </r>
  <r>
    <s v="2023-07-24"/>
    <x v="5"/>
    <x v="2"/>
    <x v="2"/>
    <x v="4"/>
    <x v="406"/>
    <x v="413"/>
    <n v="1024.3800000000001"/>
    <n v="6"/>
    <n v="0.2"/>
    <n v="-99.4"/>
    <x v="0"/>
  </r>
  <r>
    <s v="2023-12-11"/>
    <x v="11"/>
    <x v="0"/>
    <x v="0"/>
    <x v="11"/>
    <x v="407"/>
    <x v="414"/>
    <n v="1121.3799999999999"/>
    <n v="4"/>
    <n v="0"/>
    <n v="388.49"/>
    <x v="2"/>
  </r>
  <r>
    <s v="2023-11-09"/>
    <x v="9"/>
    <x v="0"/>
    <x v="2"/>
    <x v="9"/>
    <x v="408"/>
    <x v="415"/>
    <n v="1543.32"/>
    <n v="2"/>
    <n v="0.1"/>
    <n v="49.65"/>
    <x v="2"/>
  </r>
  <r>
    <s v="2023-09-13"/>
    <x v="3"/>
    <x v="2"/>
    <x v="2"/>
    <x v="8"/>
    <x v="409"/>
    <x v="416"/>
    <n v="603.98"/>
    <n v="1"/>
    <n v="0.1"/>
    <n v="142.62"/>
    <x v="1"/>
  </r>
  <r>
    <s v="2023-12-14"/>
    <x v="11"/>
    <x v="0"/>
    <x v="0"/>
    <x v="10"/>
    <x v="410"/>
    <x v="417"/>
    <n v="593.45999999999992"/>
    <n v="5"/>
    <n v="0.05"/>
    <n v="92.46"/>
    <x v="2"/>
  </r>
  <r>
    <s v="2023-11-14"/>
    <x v="9"/>
    <x v="2"/>
    <x v="0"/>
    <x v="2"/>
    <x v="411"/>
    <x v="418"/>
    <n v="1127.1399999999999"/>
    <n v="4"/>
    <n v="0.05"/>
    <n v="79.88"/>
    <x v="2"/>
  </r>
  <r>
    <s v="2023-07-22"/>
    <x v="5"/>
    <x v="2"/>
    <x v="1"/>
    <x v="3"/>
    <x v="412"/>
    <x v="419"/>
    <n v="682.62"/>
    <n v="1"/>
    <n v="0.05"/>
    <n v="208.6"/>
    <x v="2"/>
  </r>
  <r>
    <s v="2023-12-06"/>
    <x v="11"/>
    <x v="0"/>
    <x v="0"/>
    <x v="11"/>
    <x v="151"/>
    <x v="420"/>
    <n v="540.53"/>
    <n v="5"/>
    <n v="0.1"/>
    <n v="1.48"/>
    <x v="1"/>
  </r>
  <r>
    <s v="2023-03-16"/>
    <x v="8"/>
    <x v="3"/>
    <x v="2"/>
    <x v="8"/>
    <x v="413"/>
    <x v="421"/>
    <n v="145.87"/>
    <n v="6"/>
    <n v="0"/>
    <n v="10.45"/>
    <x v="1"/>
  </r>
  <r>
    <s v="2023-10-13"/>
    <x v="10"/>
    <x v="1"/>
    <x v="0"/>
    <x v="0"/>
    <x v="414"/>
    <x v="422"/>
    <n v="232.5"/>
    <n v="2"/>
    <n v="0.1"/>
    <n v="21.25"/>
    <x v="1"/>
  </r>
  <r>
    <s v="2023-10-21"/>
    <x v="10"/>
    <x v="0"/>
    <x v="1"/>
    <x v="1"/>
    <x v="415"/>
    <x v="423"/>
    <n v="972.62999999999988"/>
    <n v="9"/>
    <n v="0"/>
    <n v="415.44"/>
    <x v="0"/>
  </r>
  <r>
    <s v="2023-03-22"/>
    <x v="8"/>
    <x v="1"/>
    <x v="1"/>
    <x v="1"/>
    <x v="416"/>
    <x v="424"/>
    <n v="873.15"/>
    <n v="3"/>
    <n v="0"/>
    <n v="154.34"/>
    <x v="0"/>
  </r>
  <r>
    <s v="2023-09-17"/>
    <x v="3"/>
    <x v="2"/>
    <x v="2"/>
    <x v="7"/>
    <x v="417"/>
    <x v="425"/>
    <n v="1956.33"/>
    <n v="4"/>
    <n v="0.1"/>
    <n v="-89.63"/>
    <x v="1"/>
  </r>
  <r>
    <s v="2023-05-10"/>
    <x v="6"/>
    <x v="2"/>
    <x v="2"/>
    <x v="4"/>
    <x v="418"/>
    <x v="426"/>
    <n v="372.91999999999996"/>
    <n v="5"/>
    <n v="0"/>
    <n v="97.47"/>
    <x v="2"/>
  </r>
  <r>
    <s v="2023-06-29"/>
    <x v="0"/>
    <x v="1"/>
    <x v="1"/>
    <x v="1"/>
    <x v="419"/>
    <x v="427"/>
    <n v="1037.3800000000001"/>
    <n v="6"/>
    <n v="0.15"/>
    <n v="39.81"/>
    <x v="1"/>
  </r>
  <r>
    <s v="2023-11-05"/>
    <x v="9"/>
    <x v="1"/>
    <x v="2"/>
    <x v="7"/>
    <x v="420"/>
    <x v="428"/>
    <n v="493.08000000000004"/>
    <n v="2"/>
    <n v="0.15"/>
    <n v="24.25"/>
    <x v="1"/>
  </r>
  <r>
    <s v="2023-05-03"/>
    <x v="6"/>
    <x v="2"/>
    <x v="0"/>
    <x v="10"/>
    <x v="421"/>
    <x v="429"/>
    <n v="210.77"/>
    <n v="1"/>
    <n v="0"/>
    <n v="68.349999999999994"/>
    <x v="1"/>
  </r>
  <r>
    <s v="2023-05-30"/>
    <x v="6"/>
    <x v="1"/>
    <x v="0"/>
    <x v="2"/>
    <x v="422"/>
    <x v="430"/>
    <n v="1312.51"/>
    <n v="7"/>
    <n v="0.05"/>
    <n v="128.6"/>
    <x v="0"/>
  </r>
  <r>
    <s v="2023-05-28"/>
    <x v="6"/>
    <x v="2"/>
    <x v="0"/>
    <x v="2"/>
    <x v="423"/>
    <x v="431"/>
    <n v="1818.95"/>
    <n v="3"/>
    <n v="0.15"/>
    <n v="-18.77"/>
    <x v="2"/>
  </r>
  <r>
    <s v="2023-11-21"/>
    <x v="9"/>
    <x v="0"/>
    <x v="2"/>
    <x v="4"/>
    <x v="424"/>
    <x v="432"/>
    <n v="1876.19"/>
    <n v="7"/>
    <n v="0.2"/>
    <n v="-124.93"/>
    <x v="1"/>
  </r>
  <r>
    <s v="2023-03-07"/>
    <x v="8"/>
    <x v="3"/>
    <x v="0"/>
    <x v="11"/>
    <x v="395"/>
    <x v="433"/>
    <n v="1755.35"/>
    <n v="8"/>
    <n v="0.2"/>
    <n v="83.22"/>
    <x v="0"/>
  </r>
  <r>
    <s v="2023-06-02"/>
    <x v="0"/>
    <x v="0"/>
    <x v="2"/>
    <x v="7"/>
    <x v="425"/>
    <x v="434"/>
    <n v="1305.5"/>
    <n v="5"/>
    <n v="0.15"/>
    <n v="43.13"/>
    <x v="0"/>
  </r>
  <r>
    <s v="2023-12-10"/>
    <x v="11"/>
    <x v="3"/>
    <x v="0"/>
    <x v="2"/>
    <x v="426"/>
    <x v="435"/>
    <n v="618.51"/>
    <n v="9"/>
    <n v="0"/>
    <n v="94.3"/>
    <x v="1"/>
  </r>
  <r>
    <s v="2023-05-11"/>
    <x v="6"/>
    <x v="0"/>
    <x v="0"/>
    <x v="10"/>
    <x v="427"/>
    <x v="436"/>
    <n v="368.18"/>
    <n v="4"/>
    <n v="0.15"/>
    <n v="-31.62"/>
    <x v="2"/>
  </r>
  <r>
    <s v="2023-07-06"/>
    <x v="5"/>
    <x v="2"/>
    <x v="1"/>
    <x v="1"/>
    <x v="428"/>
    <x v="437"/>
    <n v="831.03"/>
    <n v="9"/>
    <n v="0.2"/>
    <n v="-76.3"/>
    <x v="0"/>
  </r>
  <r>
    <s v="2023-08-02"/>
    <x v="7"/>
    <x v="2"/>
    <x v="0"/>
    <x v="11"/>
    <x v="429"/>
    <x v="438"/>
    <n v="184.15"/>
    <n v="8"/>
    <n v="0.05"/>
    <n v="12.37"/>
    <x v="1"/>
  </r>
  <r>
    <s v="2023-01-03"/>
    <x v="2"/>
    <x v="3"/>
    <x v="2"/>
    <x v="9"/>
    <x v="430"/>
    <x v="439"/>
    <n v="1211.94"/>
    <n v="8"/>
    <n v="0.15"/>
    <n v="49.06"/>
    <x v="2"/>
  </r>
  <r>
    <s v="2023-06-07"/>
    <x v="0"/>
    <x v="1"/>
    <x v="0"/>
    <x v="0"/>
    <x v="431"/>
    <x v="440"/>
    <n v="503.34999999999997"/>
    <n v="2"/>
    <n v="0"/>
    <n v="49.57"/>
    <x v="2"/>
  </r>
  <r>
    <s v="2023-07-11"/>
    <x v="5"/>
    <x v="0"/>
    <x v="1"/>
    <x v="5"/>
    <x v="432"/>
    <x v="441"/>
    <n v="213.78"/>
    <n v="3"/>
    <n v="0.1"/>
    <n v="-9.15"/>
    <x v="2"/>
  </r>
  <r>
    <s v="2023-03-29"/>
    <x v="8"/>
    <x v="2"/>
    <x v="2"/>
    <x v="8"/>
    <x v="433"/>
    <x v="442"/>
    <n v="1652.04"/>
    <n v="9"/>
    <n v="0.1"/>
    <n v="321.89999999999998"/>
    <x v="0"/>
  </r>
  <r>
    <s v="2023-03-22"/>
    <x v="8"/>
    <x v="2"/>
    <x v="0"/>
    <x v="10"/>
    <x v="434"/>
    <x v="443"/>
    <n v="548.07999999999993"/>
    <n v="9"/>
    <n v="0"/>
    <n v="229.85"/>
    <x v="1"/>
  </r>
  <r>
    <s v="2023-04-23"/>
    <x v="1"/>
    <x v="1"/>
    <x v="2"/>
    <x v="8"/>
    <x v="435"/>
    <x v="444"/>
    <n v="886.37"/>
    <n v="4"/>
    <n v="0.05"/>
    <n v="67.52"/>
    <x v="2"/>
  </r>
  <r>
    <s v="2023-01-09"/>
    <x v="2"/>
    <x v="0"/>
    <x v="1"/>
    <x v="3"/>
    <x v="436"/>
    <x v="445"/>
    <n v="727.02"/>
    <n v="5"/>
    <n v="0.1"/>
    <n v="136.11000000000001"/>
    <x v="0"/>
  </r>
  <r>
    <s v="2023-11-11"/>
    <x v="9"/>
    <x v="1"/>
    <x v="0"/>
    <x v="11"/>
    <x v="437"/>
    <x v="446"/>
    <n v="1483.0300000000002"/>
    <n v="10"/>
    <n v="0.15"/>
    <n v="-132.61000000000001"/>
    <x v="0"/>
  </r>
  <r>
    <s v="2023-10-15"/>
    <x v="10"/>
    <x v="0"/>
    <x v="1"/>
    <x v="5"/>
    <x v="438"/>
    <x v="447"/>
    <n v="843.43000000000006"/>
    <n v="6"/>
    <n v="0.2"/>
    <n v="71.41"/>
    <x v="2"/>
  </r>
  <r>
    <s v="2023-01-31"/>
    <x v="2"/>
    <x v="1"/>
    <x v="1"/>
    <x v="5"/>
    <x v="439"/>
    <x v="448"/>
    <n v="336.2"/>
    <n v="5"/>
    <n v="0.2"/>
    <n v="-8.01"/>
    <x v="2"/>
  </r>
  <r>
    <s v="2023-12-03"/>
    <x v="11"/>
    <x v="3"/>
    <x v="0"/>
    <x v="12"/>
    <x v="440"/>
    <x v="449"/>
    <n v="1750.8799999999999"/>
    <n v="2"/>
    <n v="0.15"/>
    <n v="-33.06"/>
    <x v="1"/>
  </r>
  <r>
    <s v="2023-01-11"/>
    <x v="2"/>
    <x v="1"/>
    <x v="1"/>
    <x v="1"/>
    <x v="441"/>
    <x v="450"/>
    <n v="1148.06"/>
    <n v="5"/>
    <n v="0.1"/>
    <n v="145.05000000000001"/>
    <x v="0"/>
  </r>
  <r>
    <s v="2023-06-24"/>
    <x v="0"/>
    <x v="0"/>
    <x v="0"/>
    <x v="10"/>
    <x v="442"/>
    <x v="451"/>
    <n v="654.76"/>
    <n v="9"/>
    <n v="0"/>
    <n v="127.52"/>
    <x v="1"/>
  </r>
  <r>
    <s v="2023-10-15"/>
    <x v="10"/>
    <x v="0"/>
    <x v="1"/>
    <x v="3"/>
    <x v="443"/>
    <x v="452"/>
    <n v="114.96"/>
    <n v="7"/>
    <n v="0.15"/>
    <n v="-6"/>
    <x v="0"/>
  </r>
  <r>
    <s v="2023-01-31"/>
    <x v="2"/>
    <x v="0"/>
    <x v="1"/>
    <x v="6"/>
    <x v="444"/>
    <x v="453"/>
    <n v="317.56"/>
    <n v="9"/>
    <n v="0.15"/>
    <n v="5.09"/>
    <x v="2"/>
  </r>
  <r>
    <s v="2023-10-05"/>
    <x v="10"/>
    <x v="0"/>
    <x v="1"/>
    <x v="5"/>
    <x v="445"/>
    <x v="454"/>
    <n v="1937.3"/>
    <n v="9"/>
    <n v="0.2"/>
    <n v="-181.99"/>
    <x v="1"/>
  </r>
  <r>
    <s v="2023-04-26"/>
    <x v="1"/>
    <x v="2"/>
    <x v="2"/>
    <x v="9"/>
    <x v="246"/>
    <x v="455"/>
    <n v="1464.76"/>
    <n v="7"/>
    <n v="0.2"/>
    <n v="29.95"/>
    <x v="2"/>
  </r>
  <r>
    <s v="2023-03-22"/>
    <x v="8"/>
    <x v="2"/>
    <x v="0"/>
    <x v="10"/>
    <x v="446"/>
    <x v="456"/>
    <n v="1368.03"/>
    <n v="2"/>
    <n v="0.2"/>
    <n v="-161.26"/>
    <x v="0"/>
  </r>
  <r>
    <s v="2023-03-16"/>
    <x v="8"/>
    <x v="0"/>
    <x v="0"/>
    <x v="0"/>
    <x v="447"/>
    <x v="457"/>
    <n v="288.27999999999997"/>
    <n v="3"/>
    <n v="0.05"/>
    <n v="22.54"/>
    <x v="0"/>
  </r>
  <r>
    <s v="2023-05-21"/>
    <x v="6"/>
    <x v="3"/>
    <x v="2"/>
    <x v="9"/>
    <x v="448"/>
    <x v="458"/>
    <n v="1582.09"/>
    <n v="10"/>
    <n v="0.05"/>
    <n v="226.68"/>
    <x v="2"/>
  </r>
  <r>
    <s v="2023-05-27"/>
    <x v="6"/>
    <x v="1"/>
    <x v="0"/>
    <x v="11"/>
    <x v="449"/>
    <x v="459"/>
    <n v="890.82999999999993"/>
    <n v="6"/>
    <n v="0"/>
    <n v="288.18"/>
    <x v="0"/>
  </r>
  <r>
    <s v="2023-09-12"/>
    <x v="3"/>
    <x v="1"/>
    <x v="0"/>
    <x v="0"/>
    <x v="450"/>
    <x v="460"/>
    <n v="537.97"/>
    <n v="6"/>
    <n v="0.2"/>
    <n v="-12.23"/>
    <x v="2"/>
  </r>
  <r>
    <s v="2023-12-04"/>
    <x v="11"/>
    <x v="3"/>
    <x v="2"/>
    <x v="7"/>
    <x v="451"/>
    <x v="461"/>
    <n v="1368.9"/>
    <n v="9"/>
    <n v="0"/>
    <n v="509.65"/>
    <x v="2"/>
  </r>
  <r>
    <s v="2023-11-22"/>
    <x v="9"/>
    <x v="1"/>
    <x v="1"/>
    <x v="6"/>
    <x v="452"/>
    <x v="462"/>
    <n v="992.44"/>
    <n v="5"/>
    <n v="0"/>
    <n v="335.72"/>
    <x v="1"/>
  </r>
  <r>
    <s v="2023-07-25"/>
    <x v="5"/>
    <x v="0"/>
    <x v="0"/>
    <x v="11"/>
    <x v="453"/>
    <x v="463"/>
    <n v="442.87"/>
    <n v="3"/>
    <n v="0.2"/>
    <n v="-12.98"/>
    <x v="2"/>
  </r>
  <r>
    <s v="2023-10-17"/>
    <x v="10"/>
    <x v="2"/>
    <x v="0"/>
    <x v="11"/>
    <x v="454"/>
    <x v="464"/>
    <n v="2004.72"/>
    <n v="10"/>
    <n v="0.2"/>
    <n v="-185.52"/>
    <x v="2"/>
  </r>
  <r>
    <s v="2023-06-13"/>
    <x v="0"/>
    <x v="3"/>
    <x v="2"/>
    <x v="9"/>
    <x v="455"/>
    <x v="465"/>
    <n v="166.64"/>
    <n v="6"/>
    <n v="0.15"/>
    <n v="14.89"/>
    <x v="0"/>
  </r>
  <r>
    <s v="2023-09-23"/>
    <x v="3"/>
    <x v="1"/>
    <x v="2"/>
    <x v="4"/>
    <x v="456"/>
    <x v="466"/>
    <n v="352.11"/>
    <n v="4"/>
    <n v="0.2"/>
    <n v="34.08"/>
    <x v="1"/>
  </r>
  <r>
    <s v="2023-10-22"/>
    <x v="10"/>
    <x v="1"/>
    <x v="0"/>
    <x v="11"/>
    <x v="457"/>
    <x v="467"/>
    <n v="973.75"/>
    <n v="10"/>
    <n v="0.2"/>
    <n v="-121.08"/>
    <x v="1"/>
  </r>
  <r>
    <s v="2023-08-11"/>
    <x v="7"/>
    <x v="2"/>
    <x v="0"/>
    <x v="2"/>
    <x v="458"/>
    <x v="468"/>
    <n v="782.91"/>
    <n v="9"/>
    <n v="0.1"/>
    <n v="58.82"/>
    <x v="0"/>
  </r>
  <r>
    <s v="2023-07-29"/>
    <x v="5"/>
    <x v="3"/>
    <x v="0"/>
    <x v="2"/>
    <x v="459"/>
    <x v="469"/>
    <n v="1279.1200000000001"/>
    <n v="3"/>
    <n v="0.2"/>
    <n v="-106.24"/>
    <x v="2"/>
  </r>
  <r>
    <s v="2023-06-14"/>
    <x v="0"/>
    <x v="2"/>
    <x v="0"/>
    <x v="2"/>
    <x v="460"/>
    <x v="470"/>
    <n v="1197.8300000000002"/>
    <n v="3"/>
    <n v="0.05"/>
    <n v="1.85"/>
    <x v="0"/>
  </r>
  <r>
    <s v="2023-11-18"/>
    <x v="9"/>
    <x v="1"/>
    <x v="0"/>
    <x v="2"/>
    <x v="461"/>
    <x v="471"/>
    <n v="1186.28"/>
    <n v="1"/>
    <n v="0.1"/>
    <n v="197.65"/>
    <x v="2"/>
  </r>
  <r>
    <s v="2023-08-12"/>
    <x v="7"/>
    <x v="3"/>
    <x v="1"/>
    <x v="1"/>
    <x v="462"/>
    <x v="472"/>
    <n v="566.48"/>
    <n v="8"/>
    <n v="0.1"/>
    <n v="17.88"/>
    <x v="2"/>
  </r>
  <r>
    <s v="2023-07-13"/>
    <x v="5"/>
    <x v="0"/>
    <x v="2"/>
    <x v="7"/>
    <x v="463"/>
    <x v="473"/>
    <n v="1244.29"/>
    <n v="1"/>
    <n v="0.15"/>
    <n v="-6.23"/>
    <x v="0"/>
  </r>
  <r>
    <s v="2023-06-25"/>
    <x v="0"/>
    <x v="3"/>
    <x v="2"/>
    <x v="8"/>
    <x v="464"/>
    <x v="474"/>
    <n v="1979.17"/>
    <n v="2"/>
    <n v="0.2"/>
    <n v="-56.27"/>
    <x v="0"/>
  </r>
  <r>
    <s v="2023-10-21"/>
    <x v="10"/>
    <x v="3"/>
    <x v="0"/>
    <x v="0"/>
    <x v="465"/>
    <x v="475"/>
    <n v="341.47"/>
    <n v="4"/>
    <n v="0"/>
    <n v="133.97"/>
    <x v="0"/>
  </r>
  <r>
    <s v="2023-03-17"/>
    <x v="8"/>
    <x v="2"/>
    <x v="0"/>
    <x v="2"/>
    <x v="314"/>
    <x v="476"/>
    <n v="1090.8499999999999"/>
    <n v="7"/>
    <n v="0.05"/>
    <n v="154.5"/>
    <x v="0"/>
  </r>
  <r>
    <s v="2023-02-07"/>
    <x v="4"/>
    <x v="2"/>
    <x v="0"/>
    <x v="10"/>
    <x v="466"/>
    <x v="477"/>
    <n v="381.96"/>
    <n v="10"/>
    <n v="0.1"/>
    <n v="21"/>
    <x v="1"/>
  </r>
  <r>
    <s v="2023-05-23"/>
    <x v="6"/>
    <x v="2"/>
    <x v="1"/>
    <x v="3"/>
    <x v="467"/>
    <x v="478"/>
    <n v="1149.19"/>
    <n v="7"/>
    <n v="0.2"/>
    <n v="-143.04"/>
    <x v="2"/>
  </r>
  <r>
    <s v="2023-09-10"/>
    <x v="3"/>
    <x v="1"/>
    <x v="0"/>
    <x v="11"/>
    <x v="468"/>
    <x v="479"/>
    <n v="1338.02"/>
    <n v="3"/>
    <n v="0.2"/>
    <n v="-120.05"/>
    <x v="0"/>
  </r>
  <r>
    <s v="2023-03-14"/>
    <x v="8"/>
    <x v="3"/>
    <x v="2"/>
    <x v="7"/>
    <x v="469"/>
    <x v="480"/>
    <n v="461.54999999999995"/>
    <n v="8"/>
    <n v="0.2"/>
    <n v="34.409999999999997"/>
    <x v="1"/>
  </r>
  <r>
    <s v="2023-03-09"/>
    <x v="8"/>
    <x v="2"/>
    <x v="1"/>
    <x v="1"/>
    <x v="470"/>
    <x v="481"/>
    <n v="60.44"/>
    <n v="6"/>
    <n v="0.15"/>
    <n v="6.36"/>
    <x v="2"/>
  </r>
  <r>
    <s v="2023-07-02"/>
    <x v="5"/>
    <x v="0"/>
    <x v="1"/>
    <x v="5"/>
    <x v="212"/>
    <x v="482"/>
    <n v="993.30000000000007"/>
    <n v="7"/>
    <n v="0.05"/>
    <n v="203.41"/>
    <x v="2"/>
  </r>
  <r>
    <s v="2023-09-11"/>
    <x v="3"/>
    <x v="0"/>
    <x v="1"/>
    <x v="6"/>
    <x v="471"/>
    <x v="483"/>
    <n v="977.61999999999989"/>
    <n v="1"/>
    <n v="0.2"/>
    <n v="58.99"/>
    <x v="0"/>
  </r>
  <r>
    <s v="2023-11-01"/>
    <x v="9"/>
    <x v="0"/>
    <x v="2"/>
    <x v="8"/>
    <x v="472"/>
    <x v="484"/>
    <n v="936.05"/>
    <n v="5"/>
    <n v="0.1"/>
    <n v="150.29"/>
    <x v="0"/>
  </r>
  <r>
    <s v="2023-04-24"/>
    <x v="1"/>
    <x v="1"/>
    <x v="0"/>
    <x v="10"/>
    <x v="473"/>
    <x v="485"/>
    <n v="599.3900000000001"/>
    <n v="4"/>
    <n v="0.15"/>
    <n v="41.18"/>
    <x v="0"/>
  </r>
  <r>
    <s v="2023-12-06"/>
    <x v="11"/>
    <x v="1"/>
    <x v="2"/>
    <x v="8"/>
    <x v="474"/>
    <x v="486"/>
    <n v="1953.89"/>
    <n v="10"/>
    <n v="0.1"/>
    <n v="42.11"/>
    <x v="0"/>
  </r>
  <r>
    <s v="2023-05-05"/>
    <x v="6"/>
    <x v="1"/>
    <x v="1"/>
    <x v="5"/>
    <x v="475"/>
    <x v="487"/>
    <n v="481.33000000000004"/>
    <n v="7"/>
    <n v="0.15"/>
    <n v="48.62"/>
    <x v="1"/>
  </r>
  <r>
    <s v="2023-04-11"/>
    <x v="1"/>
    <x v="0"/>
    <x v="2"/>
    <x v="7"/>
    <x v="469"/>
    <x v="488"/>
    <n v="529.67000000000007"/>
    <n v="6"/>
    <n v="0.15"/>
    <n v="7.31"/>
    <x v="0"/>
  </r>
  <r>
    <s v="2023-10-18"/>
    <x v="10"/>
    <x v="3"/>
    <x v="0"/>
    <x v="2"/>
    <x v="476"/>
    <x v="489"/>
    <n v="1156.3799999999999"/>
    <n v="4"/>
    <n v="0"/>
    <n v="68.69"/>
    <x v="2"/>
  </r>
  <r>
    <s v="2023-04-05"/>
    <x v="1"/>
    <x v="2"/>
    <x v="0"/>
    <x v="0"/>
    <x v="477"/>
    <x v="490"/>
    <n v="1254.98"/>
    <n v="5"/>
    <n v="0"/>
    <n v="276.22000000000003"/>
    <x v="0"/>
  </r>
  <r>
    <s v="2023-04-12"/>
    <x v="1"/>
    <x v="3"/>
    <x v="1"/>
    <x v="3"/>
    <x v="478"/>
    <x v="491"/>
    <n v="444.55"/>
    <n v="1"/>
    <n v="0"/>
    <n v="54.55"/>
    <x v="0"/>
  </r>
  <r>
    <s v="2023-08-03"/>
    <x v="7"/>
    <x v="1"/>
    <x v="1"/>
    <x v="3"/>
    <x v="479"/>
    <x v="492"/>
    <n v="276.27"/>
    <n v="3"/>
    <n v="0"/>
    <n v="85.65"/>
    <x v="2"/>
  </r>
  <r>
    <s v="2023-05-05"/>
    <x v="6"/>
    <x v="1"/>
    <x v="2"/>
    <x v="8"/>
    <x v="480"/>
    <x v="493"/>
    <n v="305.36"/>
    <n v="1"/>
    <n v="0.05"/>
    <n v="92.83"/>
    <x v="1"/>
  </r>
  <r>
    <s v="2023-03-19"/>
    <x v="8"/>
    <x v="2"/>
    <x v="2"/>
    <x v="4"/>
    <x v="481"/>
    <x v="494"/>
    <n v="1136.6499999999999"/>
    <n v="1"/>
    <n v="0.05"/>
    <n v="86.93"/>
    <x v="2"/>
  </r>
  <r>
    <s v="2023-02-28"/>
    <x v="4"/>
    <x v="2"/>
    <x v="1"/>
    <x v="1"/>
    <x v="482"/>
    <x v="495"/>
    <n v="907.68"/>
    <n v="2"/>
    <n v="0.1"/>
    <n v="-7.43"/>
    <x v="2"/>
  </r>
  <r>
    <s v="2023-11-24"/>
    <x v="9"/>
    <x v="0"/>
    <x v="2"/>
    <x v="4"/>
    <x v="483"/>
    <x v="496"/>
    <n v="1086.4100000000001"/>
    <n v="5"/>
    <n v="0.15"/>
    <n v="65.78"/>
    <x v="2"/>
  </r>
  <r>
    <s v="2023-11-16"/>
    <x v="9"/>
    <x v="2"/>
    <x v="0"/>
    <x v="0"/>
    <x v="484"/>
    <x v="497"/>
    <n v="243.99999999999997"/>
    <n v="5"/>
    <n v="0"/>
    <n v="85.15"/>
    <x v="2"/>
  </r>
  <r>
    <s v="2023-08-03"/>
    <x v="7"/>
    <x v="1"/>
    <x v="0"/>
    <x v="10"/>
    <x v="485"/>
    <x v="498"/>
    <n v="1259.23"/>
    <n v="8"/>
    <n v="0.1"/>
    <n v="47.52"/>
    <x v="2"/>
  </r>
  <r>
    <s v="2023-12-03"/>
    <x v="11"/>
    <x v="0"/>
    <x v="1"/>
    <x v="6"/>
    <x v="486"/>
    <x v="499"/>
    <n v="1045.48"/>
    <n v="9"/>
    <n v="0.05"/>
    <n v="108.2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B3EBDD-363E-469F-A010-3D607AD2EEC3}"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1:E37" firstHeaderRow="0" firstDataRow="1" firstDataCol="3"/>
  <pivotFields count="11">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
        <item x="0"/>
        <item x="3"/>
        <item x="2"/>
        <item x="1"/>
      </items>
      <extLst>
        <ext xmlns:x14="http://schemas.microsoft.com/office/spreadsheetml/2009/9/main" uri="{2946ED86-A175-432a-8AC1-64E0C546D7DE}">
          <x14:pivotField fillDownLabels="1"/>
        </ext>
      </extLst>
    </pivotField>
    <pivotField axis="axisRow" compact="0" outline="0" showAll="0" defaultSubtotal="0">
      <items count="3">
        <item x="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x="1"/>
        <item x="2"/>
        <item x="0"/>
      </items>
      <extLst>
        <ext xmlns:x14="http://schemas.microsoft.com/office/spreadsheetml/2009/9/main" uri="{2946ED86-A175-432a-8AC1-64E0C546D7DE}">
          <x14:pivotField fillDownLabels="1"/>
        </ext>
      </extLst>
    </pivotField>
  </pivotFields>
  <rowFields count="3">
    <field x="2"/>
    <field x="3"/>
    <field x="10"/>
  </rowFields>
  <rowItems count="36">
    <i>
      <x/>
      <x/>
      <x/>
    </i>
    <i r="2">
      <x v="1"/>
    </i>
    <i r="2">
      <x v="2"/>
    </i>
    <i r="1">
      <x v="1"/>
      <x/>
    </i>
    <i r="2">
      <x v="1"/>
    </i>
    <i r="2">
      <x v="2"/>
    </i>
    <i r="1">
      <x v="2"/>
      <x/>
    </i>
    <i r="2">
      <x v="1"/>
    </i>
    <i r="2">
      <x v="2"/>
    </i>
    <i>
      <x v="1"/>
      <x/>
      <x/>
    </i>
    <i r="2">
      <x v="1"/>
    </i>
    <i r="2">
      <x v="2"/>
    </i>
    <i r="1">
      <x v="1"/>
      <x/>
    </i>
    <i r="2">
      <x v="1"/>
    </i>
    <i r="2">
      <x v="2"/>
    </i>
    <i r="1">
      <x v="2"/>
      <x/>
    </i>
    <i r="2">
      <x v="1"/>
    </i>
    <i r="2">
      <x v="2"/>
    </i>
    <i>
      <x v="2"/>
      <x/>
      <x/>
    </i>
    <i r="2">
      <x v="1"/>
    </i>
    <i r="2">
      <x v="2"/>
    </i>
    <i r="1">
      <x v="1"/>
      <x/>
    </i>
    <i r="2">
      <x v="1"/>
    </i>
    <i r="2">
      <x v="2"/>
    </i>
    <i r="1">
      <x v="2"/>
      <x/>
    </i>
    <i r="2">
      <x v="1"/>
    </i>
    <i r="2">
      <x v="2"/>
    </i>
    <i>
      <x v="3"/>
      <x/>
      <x/>
    </i>
    <i r="2">
      <x v="1"/>
    </i>
    <i r="2">
      <x v="2"/>
    </i>
    <i r="1">
      <x v="1"/>
      <x/>
    </i>
    <i r="2">
      <x v="1"/>
    </i>
    <i r="2">
      <x v="2"/>
    </i>
    <i r="1">
      <x v="2"/>
      <x/>
    </i>
    <i r="2">
      <x v="1"/>
    </i>
    <i r="2">
      <x v="2"/>
    </i>
  </rowItems>
  <colFields count="1">
    <field x="-2"/>
  </colFields>
  <colItems count="2">
    <i>
      <x/>
    </i>
    <i i="1">
      <x v="1"/>
    </i>
  </colItems>
  <dataFields count="2">
    <dataField name="Sum of Quantity" fld="7" baseField="0" baseItem="0"/>
    <dataField name="Sum of Sales" fld="6" baseField="0" baseItem="0"/>
  </dataFields>
  <formats count="2">
    <format dxfId="17">
      <pivotArea field="10" type="button" dataOnly="0" labelOnly="1" outline="0" axis="axisRow" fieldPosition="2"/>
    </format>
    <format dxfId="16">
      <pivotArea dataOnly="0" labelOnly="1" outline="0" fieldPosition="0">
        <references count="1">
          <reference field="4294967294" count="2">
            <x v="0"/>
            <x v="1"/>
          </reference>
        </references>
      </pivotArea>
    </format>
  </formats>
  <pivotTableStyleInfo name="PivotStyleLight16" showRowHeaders="0"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C47699-13C0-4C44-A9A1-0AD88378593C}"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7" firstHeaderRow="1" firstDataRow="1" firstDataCol="1"/>
  <pivotFields count="12">
    <pivotField showAll="0"/>
    <pivotField showAll="0"/>
    <pivotField axis="axisRow" showAll="0">
      <items count="14">
        <item x="2"/>
        <item x="4"/>
        <item x="8"/>
        <item x="1"/>
        <item x="6"/>
        <item x="10"/>
        <item x="5"/>
        <item x="7"/>
        <item x="3"/>
        <item x="11"/>
        <item x="9"/>
        <item x="12"/>
        <item x="0"/>
        <item t="default"/>
      </items>
    </pivotField>
    <pivotField showAll="0"/>
    <pivotField showAll="0"/>
    <pivotField showAll="0"/>
    <pivotField showAll="0"/>
    <pivotField showAll="0"/>
    <pivotField showAll="0"/>
    <pivotField showAll="0"/>
    <pivotField dataField="1" numFmtId="2" showAll="0"/>
    <pivotField showAll="0"/>
  </pivotFields>
  <rowFields count="1">
    <field x="2"/>
  </rowFields>
  <rowItems count="14">
    <i>
      <x/>
    </i>
    <i>
      <x v="1"/>
    </i>
    <i>
      <x v="2"/>
    </i>
    <i>
      <x v="3"/>
    </i>
    <i>
      <x v="4"/>
    </i>
    <i>
      <x v="5"/>
    </i>
    <i>
      <x v="6"/>
    </i>
    <i>
      <x v="7"/>
    </i>
    <i>
      <x v="8"/>
    </i>
    <i>
      <x v="9"/>
    </i>
    <i>
      <x v="10"/>
    </i>
    <i>
      <x v="11"/>
    </i>
    <i>
      <x v="12"/>
    </i>
    <i t="grand">
      <x/>
    </i>
  </rowItems>
  <colItems count="1">
    <i/>
  </colItems>
  <dataFields count="1">
    <dataField name="Average of Profit" fld="10" subtotal="average" baseField="2"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D06E8A-6ACD-4F46-AFF1-E82E314AB9A1}"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H86:I100" firstHeaderRow="1" firstDataRow="1" firstDataCol="1"/>
  <pivotFields count="12">
    <pivotField showAll="0"/>
    <pivotField showAll="0">
      <items count="13">
        <item x="2"/>
        <item x="4"/>
        <item x="8"/>
        <item x="1"/>
        <item x="6"/>
        <item x="0"/>
        <item x="5"/>
        <item x="7"/>
        <item x="3"/>
        <item x="10"/>
        <item x="9"/>
        <item x="11"/>
        <item t="default"/>
      </items>
    </pivotField>
    <pivotField showAll="0">
      <items count="5">
        <item x="0"/>
        <item x="3"/>
        <item x="2"/>
        <item x="1"/>
        <item t="default"/>
      </items>
    </pivotField>
    <pivotField showAll="0">
      <items count="4">
        <item x="2"/>
        <item x="0"/>
        <item x="1"/>
        <item t="default"/>
      </items>
    </pivotField>
    <pivotField axis="axisRow" showAll="0">
      <items count="14">
        <item x="2"/>
        <item x="9"/>
        <item x="4"/>
        <item x="6"/>
        <item x="5"/>
        <item x="10"/>
        <item x="11"/>
        <item x="3"/>
        <item x="1"/>
        <item x="7"/>
        <item x="0"/>
        <item x="8"/>
        <item x="12"/>
        <item t="default"/>
      </items>
    </pivotField>
    <pivotField showAll="0">
      <items count="488">
        <item x="355"/>
        <item x="413"/>
        <item x="409"/>
        <item x="18"/>
        <item x="390"/>
        <item x="385"/>
        <item x="435"/>
        <item x="480"/>
        <item x="433"/>
        <item x="366"/>
        <item x="63"/>
        <item x="150"/>
        <item x="96"/>
        <item x="142"/>
        <item x="198"/>
        <item x="464"/>
        <item x="268"/>
        <item x="176"/>
        <item x="354"/>
        <item x="210"/>
        <item x="358"/>
        <item x="296"/>
        <item x="80"/>
        <item x="223"/>
        <item x="235"/>
        <item x="227"/>
        <item x="15"/>
        <item x="164"/>
        <item x="285"/>
        <item x="143"/>
        <item x="357"/>
        <item x="13"/>
        <item x="129"/>
        <item x="243"/>
        <item x="472"/>
        <item x="360"/>
        <item x="74"/>
        <item x="270"/>
        <item x="48"/>
        <item x="396"/>
        <item x="62"/>
        <item x="75"/>
        <item x="37"/>
        <item x="474"/>
        <item x="277"/>
        <item x="215"/>
        <item x="127"/>
        <item x="47"/>
        <item x="100"/>
        <item x="236"/>
        <item x="353"/>
        <item x="115"/>
        <item x="431"/>
        <item x="325"/>
        <item x="321"/>
        <item x="302"/>
        <item x="308"/>
        <item x="465"/>
        <item x="381"/>
        <item x="267"/>
        <item x="93"/>
        <item x="274"/>
        <item x="138"/>
        <item x="414"/>
        <item x="247"/>
        <item x="97"/>
        <item x="337"/>
        <item x="60"/>
        <item x="251"/>
        <item x="484"/>
        <item x="394"/>
        <item x="38"/>
        <item x="450"/>
        <item x="477"/>
        <item x="31"/>
        <item x="107"/>
        <item x="181"/>
        <item x="85"/>
        <item x="440"/>
        <item x="68"/>
        <item x="4"/>
        <item x="177"/>
        <item x="368"/>
        <item x="0"/>
        <item x="447"/>
        <item x="420"/>
        <item x="121"/>
        <item x="124"/>
        <item x="59"/>
        <item x="94"/>
        <item x="12"/>
        <item x="14"/>
        <item x="425"/>
        <item x="27"/>
        <item x="154"/>
        <item x="356"/>
        <item x="402"/>
        <item x="153"/>
        <item x="190"/>
        <item x="42"/>
        <item x="137"/>
        <item x="123"/>
        <item x="180"/>
        <item x="120"/>
        <item x="335"/>
        <item x="382"/>
        <item x="469"/>
        <item x="294"/>
        <item x="87"/>
        <item x="284"/>
        <item x="61"/>
        <item x="309"/>
        <item x="159"/>
        <item x="451"/>
        <item x="463"/>
        <item x="352"/>
        <item x="417"/>
        <item x="240"/>
        <item x="160"/>
        <item x="40"/>
        <item x="272"/>
        <item x="135"/>
        <item x="2"/>
        <item x="179"/>
        <item x="98"/>
        <item x="165"/>
        <item x="462"/>
        <item x="233"/>
        <item x="280"/>
        <item x="73"/>
        <item x="264"/>
        <item x="254"/>
        <item x="1"/>
        <item x="43"/>
        <item x="86"/>
        <item x="260"/>
        <item x="334"/>
        <item x="224"/>
        <item x="419"/>
        <item x="186"/>
        <item x="105"/>
        <item x="258"/>
        <item x="276"/>
        <item x="330"/>
        <item x="416"/>
        <item x="470"/>
        <item x="326"/>
        <item x="311"/>
        <item x="28"/>
        <item x="482"/>
        <item x="262"/>
        <item x="225"/>
        <item x="441"/>
        <item x="125"/>
        <item x="397"/>
        <item x="365"/>
        <item x="351"/>
        <item x="157"/>
        <item x="362"/>
        <item x="369"/>
        <item x="415"/>
        <item x="299"/>
        <item x="428"/>
        <item x="9"/>
        <item x="287"/>
        <item x="266"/>
        <item x="289"/>
        <item x="377"/>
        <item x="21"/>
        <item x="104"/>
        <item x="278"/>
        <item x="205"/>
        <item x="467"/>
        <item x="25"/>
        <item x="99"/>
        <item x="168"/>
        <item x="363"/>
        <item x="156"/>
        <item x="315"/>
        <item x="11"/>
        <item x="297"/>
        <item x="213"/>
        <item x="339"/>
        <item x="209"/>
        <item x="372"/>
        <item x="81"/>
        <item x="479"/>
        <item x="89"/>
        <item x="5"/>
        <item x="288"/>
        <item x="401"/>
        <item x="122"/>
        <item x="343"/>
        <item x="195"/>
        <item x="119"/>
        <item x="286"/>
        <item x="478"/>
        <item x="237"/>
        <item x="248"/>
        <item x="232"/>
        <item x="436"/>
        <item x="108"/>
        <item x="26"/>
        <item x="412"/>
        <item x="371"/>
        <item x="167"/>
        <item x="78"/>
        <item x="194"/>
        <item x="443"/>
        <item x="249"/>
        <item x="457"/>
        <item x="301"/>
        <item x="403"/>
        <item x="407"/>
        <item x="95"/>
        <item x="151"/>
        <item x="76"/>
        <item x="331"/>
        <item x="30"/>
        <item x="66"/>
        <item x="454"/>
        <item x="88"/>
        <item x="197"/>
        <item x="244"/>
        <item x="206"/>
        <item x="134"/>
        <item x="222"/>
        <item x="449"/>
        <item x="208"/>
        <item x="173"/>
        <item x="57"/>
        <item x="51"/>
        <item x="45"/>
        <item x="346"/>
        <item x="175"/>
        <item x="429"/>
        <item x="191"/>
        <item x="152"/>
        <item x="437"/>
        <item x="259"/>
        <item x="162"/>
        <item x="53"/>
        <item x="141"/>
        <item x="387"/>
        <item x="453"/>
        <item x="201"/>
        <item x="468"/>
        <item x="211"/>
        <item x="404"/>
        <item x="84"/>
        <item x="216"/>
        <item x="90"/>
        <item x="395"/>
        <item x="113"/>
        <item x="128"/>
        <item x="91"/>
        <item x="200"/>
        <item x="17"/>
        <item x="349"/>
        <item x="226"/>
        <item x="361"/>
        <item x="82"/>
        <item x="35"/>
        <item x="446"/>
        <item x="220"/>
        <item x="83"/>
        <item x="293"/>
        <item x="50"/>
        <item x="421"/>
        <item x="56"/>
        <item x="345"/>
        <item x="313"/>
        <item x="275"/>
        <item x="427"/>
        <item x="485"/>
        <item x="400"/>
        <item x="116"/>
        <item x="29"/>
        <item x="342"/>
        <item x="136"/>
        <item x="172"/>
        <item x="434"/>
        <item x="442"/>
        <item x="466"/>
        <item x="410"/>
        <item x="317"/>
        <item x="473"/>
        <item x="305"/>
        <item x="269"/>
        <item x="445"/>
        <item x="212"/>
        <item x="475"/>
        <item x="193"/>
        <item x="389"/>
        <item x="316"/>
        <item x="182"/>
        <item x="438"/>
        <item x="310"/>
        <item x="49"/>
        <item x="324"/>
        <item x="373"/>
        <item x="217"/>
        <item x="307"/>
        <item x="55"/>
        <item x="439"/>
        <item x="432"/>
        <item x="234"/>
        <item x="22"/>
        <item x="114"/>
        <item x="103"/>
        <item x="219"/>
        <item x="8"/>
        <item x="256"/>
        <item x="271"/>
        <item x="242"/>
        <item x="332"/>
        <item x="261"/>
        <item x="383"/>
        <item x="36"/>
        <item x="306"/>
        <item x="257"/>
        <item x="486"/>
        <item x="20"/>
        <item x="245"/>
        <item x="130"/>
        <item x="145"/>
        <item x="58"/>
        <item x="32"/>
        <item x="71"/>
        <item x="471"/>
        <item x="319"/>
        <item x="192"/>
        <item x="155"/>
        <item x="170"/>
        <item x="283"/>
        <item x="393"/>
        <item x="347"/>
        <item x="444"/>
        <item x="336"/>
        <item x="265"/>
        <item x="367"/>
        <item x="252"/>
        <item x="295"/>
        <item x="163"/>
        <item x="196"/>
        <item x="374"/>
        <item x="10"/>
        <item x="241"/>
        <item x="65"/>
        <item x="204"/>
        <item x="54"/>
        <item x="39"/>
        <item x="41"/>
        <item x="250"/>
        <item x="144"/>
        <item x="386"/>
        <item x="92"/>
        <item x="64"/>
        <item x="452"/>
        <item x="187"/>
        <item x="338"/>
        <item x="340"/>
        <item x="140"/>
        <item x="147"/>
        <item x="292"/>
        <item x="178"/>
        <item x="304"/>
        <item x="221"/>
        <item x="118"/>
        <item x="329"/>
        <item x="238"/>
        <item x="111"/>
        <item x="77"/>
        <item x="483"/>
        <item x="281"/>
        <item x="33"/>
        <item x="290"/>
        <item x="79"/>
        <item x="169"/>
        <item x="263"/>
        <item x="418"/>
        <item x="312"/>
        <item x="320"/>
        <item x="44"/>
        <item x="46"/>
        <item x="6"/>
        <item x="230"/>
        <item x="380"/>
        <item x="279"/>
        <item x="23"/>
        <item x="424"/>
        <item x="19"/>
        <item x="391"/>
        <item x="199"/>
        <item x="253"/>
        <item x="456"/>
        <item x="202"/>
        <item x="322"/>
        <item x="70"/>
        <item x="218"/>
        <item x="255"/>
        <item x="481"/>
        <item x="291"/>
        <item x="406"/>
        <item x="149"/>
        <item x="375"/>
        <item x="327"/>
        <item x="333"/>
        <item x="370"/>
        <item x="229"/>
        <item x="133"/>
        <item x="430"/>
        <item x="110"/>
        <item x="183"/>
        <item x="112"/>
        <item x="161"/>
        <item x="184"/>
        <item x="214"/>
        <item x="273"/>
        <item x="171"/>
        <item x="67"/>
        <item x="239"/>
        <item x="207"/>
        <item x="408"/>
        <item x="203"/>
        <item x="231"/>
        <item x="132"/>
        <item x="448"/>
        <item x="246"/>
        <item x="399"/>
        <item x="16"/>
        <item x="146"/>
        <item x="392"/>
        <item x="455"/>
        <item x="101"/>
        <item x="174"/>
        <item x="328"/>
        <item x="69"/>
        <item x="126"/>
        <item x="405"/>
        <item x="72"/>
        <item x="228"/>
        <item x="323"/>
        <item x="303"/>
        <item x="411"/>
        <item x="461"/>
        <item x="314"/>
        <item x="106"/>
        <item x="158"/>
        <item x="102"/>
        <item x="52"/>
        <item x="148"/>
        <item x="348"/>
        <item x="379"/>
        <item x="341"/>
        <item x="298"/>
        <item x="350"/>
        <item x="188"/>
        <item x="24"/>
        <item x="189"/>
        <item x="34"/>
        <item x="359"/>
        <item x="378"/>
        <item x="185"/>
        <item x="384"/>
        <item x="300"/>
        <item x="139"/>
        <item x="423"/>
        <item x="166"/>
        <item x="109"/>
        <item x="388"/>
        <item x="282"/>
        <item x="376"/>
        <item x="426"/>
        <item x="7"/>
        <item x="117"/>
        <item x="458"/>
        <item x="364"/>
        <item x="476"/>
        <item x="344"/>
        <item x="422"/>
        <item x="131"/>
        <item x="459"/>
        <item x="3"/>
        <item x="318"/>
        <item x="460"/>
        <item x="398"/>
        <item t="default"/>
      </items>
    </pivotField>
    <pivotField numFmtId="2" showAll="0"/>
    <pivotField numFmtId="2" showAll="0"/>
    <pivotField dataField="1" showAll="0"/>
    <pivotField showAll="0"/>
    <pivotField numFmtId="2" showAll="0"/>
    <pivotField showAll="0">
      <items count="4">
        <item x="1"/>
        <item x="2"/>
        <item x="0"/>
        <item t="default"/>
      </items>
    </pivotField>
  </pivotFields>
  <rowFields count="1">
    <field x="4"/>
  </rowFields>
  <rowItems count="14">
    <i>
      <x/>
    </i>
    <i>
      <x v="1"/>
    </i>
    <i>
      <x v="2"/>
    </i>
    <i>
      <x v="3"/>
    </i>
    <i>
      <x v="4"/>
    </i>
    <i>
      <x v="5"/>
    </i>
    <i>
      <x v="6"/>
    </i>
    <i>
      <x v="7"/>
    </i>
    <i>
      <x v="8"/>
    </i>
    <i>
      <x v="9"/>
    </i>
    <i>
      <x v="10"/>
    </i>
    <i>
      <x v="11"/>
    </i>
    <i>
      <x v="12"/>
    </i>
    <i t="grand">
      <x/>
    </i>
  </rowItems>
  <colItems count="1">
    <i/>
  </colItems>
  <dataFields count="1">
    <dataField name="Sum of Quantity" fld="8" baseField="0" baseItem="0"/>
  </dataFields>
  <chartFormats count="15">
    <chartFormat chart="41" format="1" series="1">
      <pivotArea type="data" outline="0" fieldPosition="0">
        <references count="1">
          <reference field="4294967294" count="1" selected="0">
            <x v="0"/>
          </reference>
        </references>
      </pivotArea>
    </chartFormat>
    <chartFormat chart="47" format="16" series="1">
      <pivotArea type="data" outline="0" fieldPosition="0">
        <references count="1">
          <reference field="4294967294" count="1" selected="0">
            <x v="0"/>
          </reference>
        </references>
      </pivotArea>
    </chartFormat>
    <chartFormat chart="47" format="17">
      <pivotArea type="data" outline="0" fieldPosition="0">
        <references count="2">
          <reference field="4294967294" count="1" selected="0">
            <x v="0"/>
          </reference>
          <reference field="4" count="1" selected="0">
            <x v="0"/>
          </reference>
        </references>
      </pivotArea>
    </chartFormat>
    <chartFormat chart="47" format="18">
      <pivotArea type="data" outline="0" fieldPosition="0">
        <references count="2">
          <reference field="4294967294" count="1" selected="0">
            <x v="0"/>
          </reference>
          <reference field="4" count="1" selected="0">
            <x v="1"/>
          </reference>
        </references>
      </pivotArea>
    </chartFormat>
    <chartFormat chart="47" format="19">
      <pivotArea type="data" outline="0" fieldPosition="0">
        <references count="2">
          <reference field="4294967294" count="1" selected="0">
            <x v="0"/>
          </reference>
          <reference field="4" count="1" selected="0">
            <x v="2"/>
          </reference>
        </references>
      </pivotArea>
    </chartFormat>
    <chartFormat chart="47" format="20">
      <pivotArea type="data" outline="0" fieldPosition="0">
        <references count="2">
          <reference field="4294967294" count="1" selected="0">
            <x v="0"/>
          </reference>
          <reference field="4" count="1" selected="0">
            <x v="3"/>
          </reference>
        </references>
      </pivotArea>
    </chartFormat>
    <chartFormat chart="47" format="21">
      <pivotArea type="data" outline="0" fieldPosition="0">
        <references count="2">
          <reference field="4294967294" count="1" selected="0">
            <x v="0"/>
          </reference>
          <reference field="4" count="1" selected="0">
            <x v="4"/>
          </reference>
        </references>
      </pivotArea>
    </chartFormat>
    <chartFormat chart="47" format="22">
      <pivotArea type="data" outline="0" fieldPosition="0">
        <references count="2">
          <reference field="4294967294" count="1" selected="0">
            <x v="0"/>
          </reference>
          <reference field="4" count="1" selected="0">
            <x v="5"/>
          </reference>
        </references>
      </pivotArea>
    </chartFormat>
    <chartFormat chart="47" format="23">
      <pivotArea type="data" outline="0" fieldPosition="0">
        <references count="2">
          <reference field="4294967294" count="1" selected="0">
            <x v="0"/>
          </reference>
          <reference field="4" count="1" selected="0">
            <x v="6"/>
          </reference>
        </references>
      </pivotArea>
    </chartFormat>
    <chartFormat chart="47" format="24">
      <pivotArea type="data" outline="0" fieldPosition="0">
        <references count="2">
          <reference field="4294967294" count="1" selected="0">
            <x v="0"/>
          </reference>
          <reference field="4" count="1" selected="0">
            <x v="7"/>
          </reference>
        </references>
      </pivotArea>
    </chartFormat>
    <chartFormat chart="47" format="25">
      <pivotArea type="data" outline="0" fieldPosition="0">
        <references count="2">
          <reference field="4294967294" count="1" selected="0">
            <x v="0"/>
          </reference>
          <reference field="4" count="1" selected="0">
            <x v="8"/>
          </reference>
        </references>
      </pivotArea>
    </chartFormat>
    <chartFormat chart="47" format="26">
      <pivotArea type="data" outline="0" fieldPosition="0">
        <references count="2">
          <reference field="4294967294" count="1" selected="0">
            <x v="0"/>
          </reference>
          <reference field="4" count="1" selected="0">
            <x v="9"/>
          </reference>
        </references>
      </pivotArea>
    </chartFormat>
    <chartFormat chart="47" format="27">
      <pivotArea type="data" outline="0" fieldPosition="0">
        <references count="2">
          <reference field="4294967294" count="1" selected="0">
            <x v="0"/>
          </reference>
          <reference field="4" count="1" selected="0">
            <x v="10"/>
          </reference>
        </references>
      </pivotArea>
    </chartFormat>
    <chartFormat chart="47" format="28">
      <pivotArea type="data" outline="0" fieldPosition="0">
        <references count="2">
          <reference field="4294967294" count="1" selected="0">
            <x v="0"/>
          </reference>
          <reference field="4" count="1" selected="0">
            <x v="11"/>
          </reference>
        </references>
      </pivotArea>
    </chartFormat>
    <chartFormat chart="47" format="29">
      <pivotArea type="data" outline="0" fieldPosition="0">
        <references count="2">
          <reference field="4294967294" count="1" selected="0">
            <x v="0"/>
          </reference>
          <reference field="4"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99E735-97D7-42FC-BD4D-A8858691E352}"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C73:Q79" firstHeaderRow="1" firstDataRow="2" firstDataCol="1"/>
  <pivotFields count="12">
    <pivotField showAll="0"/>
    <pivotField showAll="0">
      <items count="13">
        <item x="2"/>
        <item x="4"/>
        <item x="8"/>
        <item x="1"/>
        <item x="6"/>
        <item x="0"/>
        <item x="5"/>
        <item x="7"/>
        <item x="3"/>
        <item x="10"/>
        <item x="9"/>
        <item x="11"/>
        <item t="default"/>
      </items>
    </pivotField>
    <pivotField axis="axisRow" showAll="0">
      <items count="5">
        <item x="0"/>
        <item x="3"/>
        <item x="2"/>
        <item x="1"/>
        <item t="default"/>
      </items>
    </pivotField>
    <pivotField showAll="0">
      <items count="4">
        <item x="2"/>
        <item x="0"/>
        <item x="1"/>
        <item t="default"/>
      </items>
    </pivotField>
    <pivotField axis="axisCol" showAll="0">
      <items count="14">
        <item x="2"/>
        <item x="9"/>
        <item x="4"/>
        <item x="6"/>
        <item x="5"/>
        <item x="10"/>
        <item x="11"/>
        <item x="3"/>
        <item x="1"/>
        <item x="7"/>
        <item x="0"/>
        <item x="8"/>
        <item x="12"/>
        <item t="default"/>
      </items>
    </pivotField>
    <pivotField showAll="0">
      <items count="488">
        <item x="355"/>
        <item x="413"/>
        <item x="409"/>
        <item x="18"/>
        <item x="390"/>
        <item x="385"/>
        <item x="435"/>
        <item x="480"/>
        <item x="433"/>
        <item x="366"/>
        <item x="63"/>
        <item x="150"/>
        <item x="96"/>
        <item x="142"/>
        <item x="198"/>
        <item x="464"/>
        <item x="268"/>
        <item x="176"/>
        <item x="354"/>
        <item x="210"/>
        <item x="358"/>
        <item x="296"/>
        <item x="80"/>
        <item x="223"/>
        <item x="235"/>
        <item x="227"/>
        <item x="15"/>
        <item x="164"/>
        <item x="285"/>
        <item x="143"/>
        <item x="357"/>
        <item x="13"/>
        <item x="129"/>
        <item x="243"/>
        <item x="472"/>
        <item x="360"/>
        <item x="74"/>
        <item x="270"/>
        <item x="48"/>
        <item x="396"/>
        <item x="62"/>
        <item x="75"/>
        <item x="37"/>
        <item x="474"/>
        <item x="277"/>
        <item x="215"/>
        <item x="127"/>
        <item x="47"/>
        <item x="100"/>
        <item x="236"/>
        <item x="353"/>
        <item x="115"/>
        <item x="431"/>
        <item x="325"/>
        <item x="321"/>
        <item x="302"/>
        <item x="308"/>
        <item x="465"/>
        <item x="381"/>
        <item x="267"/>
        <item x="93"/>
        <item x="274"/>
        <item x="138"/>
        <item x="414"/>
        <item x="247"/>
        <item x="97"/>
        <item x="337"/>
        <item x="60"/>
        <item x="251"/>
        <item x="484"/>
        <item x="394"/>
        <item x="38"/>
        <item x="450"/>
        <item x="477"/>
        <item x="31"/>
        <item x="107"/>
        <item x="181"/>
        <item x="85"/>
        <item x="440"/>
        <item x="68"/>
        <item x="4"/>
        <item x="177"/>
        <item x="368"/>
        <item x="0"/>
        <item x="447"/>
        <item x="420"/>
        <item x="121"/>
        <item x="124"/>
        <item x="59"/>
        <item x="94"/>
        <item x="12"/>
        <item x="14"/>
        <item x="425"/>
        <item x="27"/>
        <item x="154"/>
        <item x="356"/>
        <item x="402"/>
        <item x="153"/>
        <item x="190"/>
        <item x="42"/>
        <item x="137"/>
        <item x="123"/>
        <item x="180"/>
        <item x="120"/>
        <item x="335"/>
        <item x="382"/>
        <item x="469"/>
        <item x="294"/>
        <item x="87"/>
        <item x="284"/>
        <item x="61"/>
        <item x="309"/>
        <item x="159"/>
        <item x="451"/>
        <item x="463"/>
        <item x="352"/>
        <item x="417"/>
        <item x="240"/>
        <item x="160"/>
        <item x="40"/>
        <item x="272"/>
        <item x="135"/>
        <item x="2"/>
        <item x="179"/>
        <item x="98"/>
        <item x="165"/>
        <item x="462"/>
        <item x="233"/>
        <item x="280"/>
        <item x="73"/>
        <item x="264"/>
        <item x="254"/>
        <item x="1"/>
        <item x="43"/>
        <item x="86"/>
        <item x="260"/>
        <item x="334"/>
        <item x="224"/>
        <item x="419"/>
        <item x="186"/>
        <item x="105"/>
        <item x="258"/>
        <item x="276"/>
        <item x="330"/>
        <item x="416"/>
        <item x="470"/>
        <item x="326"/>
        <item x="311"/>
        <item x="28"/>
        <item x="482"/>
        <item x="262"/>
        <item x="225"/>
        <item x="441"/>
        <item x="125"/>
        <item x="397"/>
        <item x="365"/>
        <item x="351"/>
        <item x="157"/>
        <item x="362"/>
        <item x="369"/>
        <item x="415"/>
        <item x="299"/>
        <item x="428"/>
        <item x="9"/>
        <item x="287"/>
        <item x="266"/>
        <item x="289"/>
        <item x="377"/>
        <item x="21"/>
        <item x="104"/>
        <item x="278"/>
        <item x="205"/>
        <item x="467"/>
        <item x="25"/>
        <item x="99"/>
        <item x="168"/>
        <item x="363"/>
        <item x="156"/>
        <item x="315"/>
        <item x="11"/>
        <item x="297"/>
        <item x="213"/>
        <item x="339"/>
        <item x="209"/>
        <item x="372"/>
        <item x="81"/>
        <item x="479"/>
        <item x="89"/>
        <item x="5"/>
        <item x="288"/>
        <item x="401"/>
        <item x="122"/>
        <item x="343"/>
        <item x="195"/>
        <item x="119"/>
        <item x="286"/>
        <item x="478"/>
        <item x="237"/>
        <item x="248"/>
        <item x="232"/>
        <item x="436"/>
        <item x="108"/>
        <item x="26"/>
        <item x="412"/>
        <item x="371"/>
        <item x="167"/>
        <item x="78"/>
        <item x="194"/>
        <item x="443"/>
        <item x="249"/>
        <item x="457"/>
        <item x="301"/>
        <item x="403"/>
        <item x="407"/>
        <item x="95"/>
        <item x="151"/>
        <item x="76"/>
        <item x="331"/>
        <item x="30"/>
        <item x="66"/>
        <item x="454"/>
        <item x="88"/>
        <item x="197"/>
        <item x="244"/>
        <item x="206"/>
        <item x="134"/>
        <item x="222"/>
        <item x="449"/>
        <item x="208"/>
        <item x="173"/>
        <item x="57"/>
        <item x="51"/>
        <item x="45"/>
        <item x="346"/>
        <item x="175"/>
        <item x="429"/>
        <item x="191"/>
        <item x="152"/>
        <item x="437"/>
        <item x="259"/>
        <item x="162"/>
        <item x="53"/>
        <item x="141"/>
        <item x="387"/>
        <item x="453"/>
        <item x="201"/>
        <item x="468"/>
        <item x="211"/>
        <item x="404"/>
        <item x="84"/>
        <item x="216"/>
        <item x="90"/>
        <item x="395"/>
        <item x="113"/>
        <item x="128"/>
        <item x="91"/>
        <item x="200"/>
        <item x="17"/>
        <item x="349"/>
        <item x="226"/>
        <item x="361"/>
        <item x="82"/>
        <item x="35"/>
        <item x="446"/>
        <item x="220"/>
        <item x="83"/>
        <item x="293"/>
        <item x="50"/>
        <item x="421"/>
        <item x="56"/>
        <item x="345"/>
        <item x="313"/>
        <item x="275"/>
        <item x="427"/>
        <item x="485"/>
        <item x="400"/>
        <item x="116"/>
        <item x="29"/>
        <item x="342"/>
        <item x="136"/>
        <item x="172"/>
        <item x="434"/>
        <item x="442"/>
        <item x="466"/>
        <item x="410"/>
        <item x="317"/>
        <item x="473"/>
        <item x="305"/>
        <item x="269"/>
        <item x="445"/>
        <item x="212"/>
        <item x="475"/>
        <item x="193"/>
        <item x="389"/>
        <item x="316"/>
        <item x="182"/>
        <item x="438"/>
        <item x="310"/>
        <item x="49"/>
        <item x="324"/>
        <item x="373"/>
        <item x="217"/>
        <item x="307"/>
        <item x="55"/>
        <item x="439"/>
        <item x="432"/>
        <item x="234"/>
        <item x="22"/>
        <item x="114"/>
        <item x="103"/>
        <item x="219"/>
        <item x="8"/>
        <item x="256"/>
        <item x="271"/>
        <item x="242"/>
        <item x="332"/>
        <item x="261"/>
        <item x="383"/>
        <item x="36"/>
        <item x="306"/>
        <item x="257"/>
        <item x="486"/>
        <item x="20"/>
        <item x="245"/>
        <item x="130"/>
        <item x="145"/>
        <item x="58"/>
        <item x="32"/>
        <item x="71"/>
        <item x="471"/>
        <item x="319"/>
        <item x="192"/>
        <item x="155"/>
        <item x="170"/>
        <item x="283"/>
        <item x="393"/>
        <item x="347"/>
        <item x="444"/>
        <item x="336"/>
        <item x="265"/>
        <item x="367"/>
        <item x="252"/>
        <item x="295"/>
        <item x="163"/>
        <item x="196"/>
        <item x="374"/>
        <item x="10"/>
        <item x="241"/>
        <item x="65"/>
        <item x="204"/>
        <item x="54"/>
        <item x="39"/>
        <item x="41"/>
        <item x="250"/>
        <item x="144"/>
        <item x="386"/>
        <item x="92"/>
        <item x="64"/>
        <item x="452"/>
        <item x="187"/>
        <item x="338"/>
        <item x="340"/>
        <item x="140"/>
        <item x="147"/>
        <item x="292"/>
        <item x="178"/>
        <item x="304"/>
        <item x="221"/>
        <item x="118"/>
        <item x="329"/>
        <item x="238"/>
        <item x="111"/>
        <item x="77"/>
        <item x="483"/>
        <item x="281"/>
        <item x="33"/>
        <item x="290"/>
        <item x="79"/>
        <item x="169"/>
        <item x="263"/>
        <item x="418"/>
        <item x="312"/>
        <item x="320"/>
        <item x="44"/>
        <item x="46"/>
        <item x="6"/>
        <item x="230"/>
        <item x="380"/>
        <item x="279"/>
        <item x="23"/>
        <item x="424"/>
        <item x="19"/>
        <item x="391"/>
        <item x="199"/>
        <item x="253"/>
        <item x="456"/>
        <item x="202"/>
        <item x="322"/>
        <item x="70"/>
        <item x="218"/>
        <item x="255"/>
        <item x="481"/>
        <item x="291"/>
        <item x="406"/>
        <item x="149"/>
        <item x="375"/>
        <item x="327"/>
        <item x="333"/>
        <item x="370"/>
        <item x="229"/>
        <item x="133"/>
        <item x="430"/>
        <item x="110"/>
        <item x="183"/>
        <item x="112"/>
        <item x="161"/>
        <item x="184"/>
        <item x="214"/>
        <item x="273"/>
        <item x="171"/>
        <item x="67"/>
        <item x="239"/>
        <item x="207"/>
        <item x="408"/>
        <item x="203"/>
        <item x="231"/>
        <item x="132"/>
        <item x="448"/>
        <item x="246"/>
        <item x="399"/>
        <item x="16"/>
        <item x="146"/>
        <item x="392"/>
        <item x="455"/>
        <item x="101"/>
        <item x="174"/>
        <item x="328"/>
        <item x="69"/>
        <item x="126"/>
        <item x="405"/>
        <item x="72"/>
        <item x="228"/>
        <item x="323"/>
        <item x="303"/>
        <item x="411"/>
        <item x="461"/>
        <item x="314"/>
        <item x="106"/>
        <item x="158"/>
        <item x="102"/>
        <item x="52"/>
        <item x="148"/>
        <item x="348"/>
        <item x="379"/>
        <item x="341"/>
        <item x="298"/>
        <item x="350"/>
        <item x="188"/>
        <item x="24"/>
        <item x="189"/>
        <item x="34"/>
        <item x="359"/>
        <item x="378"/>
        <item x="185"/>
        <item x="384"/>
        <item x="300"/>
        <item x="139"/>
        <item x="423"/>
        <item x="166"/>
        <item x="109"/>
        <item x="388"/>
        <item x="282"/>
        <item x="376"/>
        <item x="426"/>
        <item x="7"/>
        <item x="117"/>
        <item x="458"/>
        <item x="364"/>
        <item x="476"/>
        <item x="344"/>
        <item x="422"/>
        <item x="131"/>
        <item x="459"/>
        <item x="3"/>
        <item x="318"/>
        <item x="460"/>
        <item x="398"/>
        <item t="default"/>
      </items>
    </pivotField>
    <pivotField numFmtId="2" showAll="0"/>
    <pivotField numFmtId="2" showAll="0"/>
    <pivotField showAll="0"/>
    <pivotField showAll="0"/>
    <pivotField dataField="1" numFmtId="2" showAll="0"/>
    <pivotField showAll="0">
      <items count="4">
        <item x="1"/>
        <item x="2"/>
        <item x="0"/>
        <item t="default"/>
      </items>
    </pivotField>
  </pivotFields>
  <rowFields count="1">
    <field x="2"/>
  </rowFields>
  <rowItems count="5">
    <i>
      <x/>
    </i>
    <i>
      <x v="1"/>
    </i>
    <i>
      <x v="2"/>
    </i>
    <i>
      <x v="3"/>
    </i>
    <i t="grand">
      <x/>
    </i>
  </rowItems>
  <colFields count="1">
    <field x="4"/>
  </colFields>
  <colItems count="14">
    <i>
      <x/>
    </i>
    <i>
      <x v="1"/>
    </i>
    <i>
      <x v="2"/>
    </i>
    <i>
      <x v="3"/>
    </i>
    <i>
      <x v="4"/>
    </i>
    <i>
      <x v="5"/>
    </i>
    <i>
      <x v="6"/>
    </i>
    <i>
      <x v="7"/>
    </i>
    <i>
      <x v="8"/>
    </i>
    <i>
      <x v="9"/>
    </i>
    <i>
      <x v="10"/>
    </i>
    <i>
      <x v="11"/>
    </i>
    <i>
      <x v="12"/>
    </i>
    <i t="grand">
      <x/>
    </i>
  </colItems>
  <dataFields count="1">
    <dataField name="Sum of Profit"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49434A1-1A4C-43A2-8349-37193B144790}"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C16" firstHeaderRow="0" firstDataRow="1" firstDataCol="1"/>
  <pivotFields count="12">
    <pivotField showAll="0"/>
    <pivotField axis="axisRow" showAll="0">
      <items count="13">
        <item x="2"/>
        <item x="4"/>
        <item x="8"/>
        <item x="1"/>
        <item x="6"/>
        <item x="0"/>
        <item x="5"/>
        <item x="7"/>
        <item x="3"/>
        <item x="10"/>
        <item x="9"/>
        <item x="11"/>
        <item t="default"/>
      </items>
    </pivotField>
    <pivotField showAll="0"/>
    <pivotField showAll="0">
      <items count="4">
        <item x="2"/>
        <item x="0"/>
        <item x="1"/>
        <item t="default"/>
      </items>
    </pivotField>
    <pivotField showAll="0"/>
    <pivotField showAll="0"/>
    <pivotField dataField="1" numFmtId="2" showAll="0"/>
    <pivotField numFmtId="2" showAll="0"/>
    <pivotField dataField="1" showAll="0"/>
    <pivotField showAll="0"/>
    <pivotField numFmtId="2" showAll="0"/>
    <pivotField showAll="0">
      <items count="4">
        <item x="1"/>
        <item x="2"/>
        <item x="0"/>
        <item t="default"/>
      </items>
    </pivotField>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6" baseField="0" baseItem="0" numFmtId="2"/>
    <dataField name="Sum of Quantity" fld="8" baseField="0" baseItem="0"/>
  </dataFields>
  <chartFormats count="10">
    <chartFormat chart="16" format="10" series="1">
      <pivotArea type="data" outline="0" fieldPosition="0">
        <references count="1">
          <reference field="4294967294" count="1" selected="0">
            <x v="0"/>
          </reference>
        </references>
      </pivotArea>
    </chartFormat>
    <chartFormat chart="16" format="11">
      <pivotArea type="data" outline="0" fieldPosition="0">
        <references count="2">
          <reference field="4294967294" count="1" selected="0">
            <x v="0"/>
          </reference>
          <reference field="1" count="1" selected="0">
            <x v="7"/>
          </reference>
        </references>
      </pivotArea>
    </chartFormat>
    <chartFormat chart="16" format="12">
      <pivotArea type="data" outline="0" fieldPosition="0">
        <references count="2">
          <reference field="4294967294" count="1" selected="0">
            <x v="0"/>
          </reference>
          <reference field="1" count="1" selected="0">
            <x v="8"/>
          </reference>
        </references>
      </pivotArea>
    </chartFormat>
    <chartFormat chart="16" format="13">
      <pivotArea type="data" outline="0" fieldPosition="0">
        <references count="2">
          <reference field="4294967294" count="1" selected="0">
            <x v="0"/>
          </reference>
          <reference field="1" count="1" selected="0">
            <x v="11"/>
          </reference>
        </references>
      </pivotArea>
    </chartFormat>
    <chartFormat chart="16" format="14" series="1">
      <pivotArea type="data" outline="0" fieldPosition="0">
        <references count="1">
          <reference field="4294967294" count="1" selected="0">
            <x v="1"/>
          </reference>
        </references>
      </pivotArea>
    </chartFormat>
    <chartFormat chart="3" format="30" series="1">
      <pivotArea type="data" outline="0" fieldPosition="0">
        <references count="1">
          <reference field="4294967294" count="1" selected="0">
            <x v="0"/>
          </reference>
        </references>
      </pivotArea>
    </chartFormat>
    <chartFormat chart="3" format="31">
      <pivotArea type="data" outline="0" fieldPosition="0">
        <references count="2">
          <reference field="4294967294" count="1" selected="0">
            <x v="0"/>
          </reference>
          <reference field="1" count="1" selected="0">
            <x v="7"/>
          </reference>
        </references>
      </pivotArea>
    </chartFormat>
    <chartFormat chart="3" format="32">
      <pivotArea type="data" outline="0" fieldPosition="0">
        <references count="2">
          <reference field="4294967294" count="1" selected="0">
            <x v="0"/>
          </reference>
          <reference field="1" count="1" selected="0">
            <x v="8"/>
          </reference>
        </references>
      </pivotArea>
    </chartFormat>
    <chartFormat chart="3" format="33">
      <pivotArea type="data" outline="0" fieldPosition="0">
        <references count="2">
          <reference field="4294967294" count="1" selected="0">
            <x v="0"/>
          </reference>
          <reference field="1" count="1" selected="0">
            <x v="11"/>
          </reference>
        </references>
      </pivotArea>
    </chartFormat>
    <chartFormat chart="3" format="3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2B42843-1CBA-4E1F-B0ED-D79DA1388DAF}"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52:C63" firstHeaderRow="0" firstDataRow="1" firstDataCol="1"/>
  <pivotFields count="12">
    <pivotField showAll="0"/>
    <pivotField showAll="0">
      <items count="13">
        <item x="2"/>
        <item x="4"/>
        <item x="8"/>
        <item x="1"/>
        <item x="6"/>
        <item x="0"/>
        <item x="5"/>
        <item x="7"/>
        <item x="3"/>
        <item x="10"/>
        <item x="9"/>
        <item x="11"/>
        <item t="default"/>
      </items>
    </pivotField>
    <pivotField showAll="0"/>
    <pivotField showAll="0">
      <items count="4">
        <item x="2"/>
        <item x="0"/>
        <item x="1"/>
        <item t="default"/>
      </items>
    </pivotField>
    <pivotField showAll="0"/>
    <pivotField axis="axisRow" showAll="0" measureFilter="1" sortType="descending">
      <items count="488">
        <item x="355"/>
        <item x="413"/>
        <item x="409"/>
        <item x="18"/>
        <item x="390"/>
        <item x="385"/>
        <item x="435"/>
        <item x="480"/>
        <item x="433"/>
        <item x="366"/>
        <item x="63"/>
        <item x="150"/>
        <item x="96"/>
        <item x="142"/>
        <item x="198"/>
        <item x="464"/>
        <item x="268"/>
        <item x="176"/>
        <item x="354"/>
        <item x="210"/>
        <item x="358"/>
        <item x="296"/>
        <item x="80"/>
        <item x="223"/>
        <item x="235"/>
        <item x="227"/>
        <item x="15"/>
        <item x="164"/>
        <item x="285"/>
        <item x="143"/>
        <item x="357"/>
        <item x="13"/>
        <item x="129"/>
        <item x="243"/>
        <item x="472"/>
        <item x="360"/>
        <item x="74"/>
        <item x="270"/>
        <item x="48"/>
        <item x="396"/>
        <item x="62"/>
        <item x="75"/>
        <item x="37"/>
        <item x="474"/>
        <item x="277"/>
        <item x="215"/>
        <item x="127"/>
        <item x="47"/>
        <item x="100"/>
        <item x="236"/>
        <item x="353"/>
        <item x="115"/>
        <item x="431"/>
        <item x="325"/>
        <item x="321"/>
        <item x="302"/>
        <item x="308"/>
        <item x="465"/>
        <item x="381"/>
        <item x="267"/>
        <item x="93"/>
        <item x="274"/>
        <item x="138"/>
        <item x="414"/>
        <item x="247"/>
        <item x="97"/>
        <item x="337"/>
        <item x="60"/>
        <item x="251"/>
        <item x="484"/>
        <item x="394"/>
        <item x="38"/>
        <item x="450"/>
        <item x="477"/>
        <item x="31"/>
        <item x="107"/>
        <item x="181"/>
        <item x="85"/>
        <item x="440"/>
        <item x="68"/>
        <item x="4"/>
        <item x="177"/>
        <item x="368"/>
        <item x="0"/>
        <item x="447"/>
        <item x="420"/>
        <item x="121"/>
        <item x="124"/>
        <item x="59"/>
        <item x="94"/>
        <item x="12"/>
        <item x="14"/>
        <item x="425"/>
        <item x="27"/>
        <item x="154"/>
        <item x="356"/>
        <item x="402"/>
        <item x="153"/>
        <item x="190"/>
        <item x="42"/>
        <item x="137"/>
        <item x="123"/>
        <item x="180"/>
        <item x="120"/>
        <item x="335"/>
        <item x="382"/>
        <item x="469"/>
        <item x="294"/>
        <item x="87"/>
        <item x="284"/>
        <item x="61"/>
        <item x="309"/>
        <item x="159"/>
        <item x="451"/>
        <item x="463"/>
        <item x="352"/>
        <item x="417"/>
        <item x="240"/>
        <item x="160"/>
        <item x="40"/>
        <item x="272"/>
        <item x="135"/>
        <item x="2"/>
        <item x="179"/>
        <item x="98"/>
        <item x="165"/>
        <item x="462"/>
        <item x="233"/>
        <item x="280"/>
        <item x="73"/>
        <item x="264"/>
        <item x="254"/>
        <item x="1"/>
        <item x="43"/>
        <item x="86"/>
        <item x="260"/>
        <item x="334"/>
        <item x="224"/>
        <item x="419"/>
        <item x="186"/>
        <item x="105"/>
        <item x="258"/>
        <item x="276"/>
        <item x="330"/>
        <item x="416"/>
        <item x="470"/>
        <item x="326"/>
        <item x="311"/>
        <item x="28"/>
        <item x="482"/>
        <item x="262"/>
        <item x="225"/>
        <item x="441"/>
        <item x="125"/>
        <item x="397"/>
        <item x="365"/>
        <item x="351"/>
        <item x="157"/>
        <item x="362"/>
        <item x="369"/>
        <item x="415"/>
        <item x="299"/>
        <item x="428"/>
        <item x="9"/>
        <item x="287"/>
        <item x="266"/>
        <item x="289"/>
        <item x="377"/>
        <item x="21"/>
        <item x="104"/>
        <item x="278"/>
        <item x="205"/>
        <item x="467"/>
        <item x="25"/>
        <item x="99"/>
        <item x="168"/>
        <item x="363"/>
        <item x="156"/>
        <item x="315"/>
        <item x="11"/>
        <item x="297"/>
        <item x="213"/>
        <item x="339"/>
        <item x="209"/>
        <item x="372"/>
        <item x="81"/>
        <item x="479"/>
        <item x="89"/>
        <item x="5"/>
        <item x="288"/>
        <item x="401"/>
        <item x="122"/>
        <item x="343"/>
        <item x="195"/>
        <item x="119"/>
        <item x="286"/>
        <item x="478"/>
        <item x="237"/>
        <item x="248"/>
        <item x="232"/>
        <item x="436"/>
        <item x="108"/>
        <item x="26"/>
        <item x="412"/>
        <item x="371"/>
        <item x="167"/>
        <item x="78"/>
        <item x="194"/>
        <item x="443"/>
        <item x="249"/>
        <item x="457"/>
        <item x="301"/>
        <item x="403"/>
        <item x="407"/>
        <item x="95"/>
        <item x="151"/>
        <item x="76"/>
        <item x="331"/>
        <item x="30"/>
        <item x="66"/>
        <item x="454"/>
        <item x="88"/>
        <item x="197"/>
        <item x="244"/>
        <item x="206"/>
        <item x="134"/>
        <item x="222"/>
        <item x="449"/>
        <item x="208"/>
        <item x="173"/>
        <item x="57"/>
        <item x="51"/>
        <item x="45"/>
        <item x="346"/>
        <item x="175"/>
        <item x="429"/>
        <item x="191"/>
        <item x="152"/>
        <item x="437"/>
        <item x="259"/>
        <item x="162"/>
        <item x="53"/>
        <item x="141"/>
        <item x="387"/>
        <item x="453"/>
        <item x="201"/>
        <item x="468"/>
        <item x="211"/>
        <item x="404"/>
        <item x="84"/>
        <item x="216"/>
        <item x="90"/>
        <item x="395"/>
        <item x="113"/>
        <item x="128"/>
        <item x="91"/>
        <item x="200"/>
        <item x="17"/>
        <item x="349"/>
        <item x="226"/>
        <item x="361"/>
        <item x="82"/>
        <item x="35"/>
        <item x="446"/>
        <item x="220"/>
        <item x="83"/>
        <item x="293"/>
        <item x="50"/>
        <item x="421"/>
        <item x="56"/>
        <item x="345"/>
        <item x="313"/>
        <item x="275"/>
        <item x="427"/>
        <item x="485"/>
        <item x="400"/>
        <item x="116"/>
        <item x="29"/>
        <item x="342"/>
        <item x="136"/>
        <item x="172"/>
        <item x="434"/>
        <item x="442"/>
        <item x="466"/>
        <item x="410"/>
        <item x="317"/>
        <item x="473"/>
        <item x="305"/>
        <item x="269"/>
        <item x="445"/>
        <item x="212"/>
        <item x="475"/>
        <item x="193"/>
        <item x="389"/>
        <item x="316"/>
        <item x="182"/>
        <item x="438"/>
        <item x="310"/>
        <item x="49"/>
        <item x="324"/>
        <item x="373"/>
        <item x="217"/>
        <item x="307"/>
        <item x="55"/>
        <item x="439"/>
        <item x="432"/>
        <item x="234"/>
        <item x="22"/>
        <item x="114"/>
        <item x="103"/>
        <item x="219"/>
        <item x="8"/>
        <item x="256"/>
        <item x="271"/>
        <item x="242"/>
        <item x="332"/>
        <item x="261"/>
        <item x="383"/>
        <item x="36"/>
        <item x="306"/>
        <item x="257"/>
        <item x="486"/>
        <item x="20"/>
        <item x="245"/>
        <item x="130"/>
        <item x="145"/>
        <item x="58"/>
        <item x="32"/>
        <item x="71"/>
        <item x="471"/>
        <item x="319"/>
        <item x="192"/>
        <item x="155"/>
        <item x="170"/>
        <item x="283"/>
        <item x="393"/>
        <item x="347"/>
        <item x="444"/>
        <item x="336"/>
        <item x="265"/>
        <item x="367"/>
        <item x="252"/>
        <item x="295"/>
        <item x="163"/>
        <item x="196"/>
        <item x="374"/>
        <item x="10"/>
        <item x="241"/>
        <item x="65"/>
        <item x="204"/>
        <item x="54"/>
        <item x="39"/>
        <item x="41"/>
        <item x="250"/>
        <item x="144"/>
        <item x="386"/>
        <item x="92"/>
        <item x="64"/>
        <item x="452"/>
        <item x="187"/>
        <item x="338"/>
        <item x="340"/>
        <item x="140"/>
        <item x="147"/>
        <item x="292"/>
        <item x="178"/>
        <item x="304"/>
        <item x="221"/>
        <item x="118"/>
        <item x="329"/>
        <item x="238"/>
        <item x="111"/>
        <item x="77"/>
        <item x="483"/>
        <item x="281"/>
        <item x="33"/>
        <item x="290"/>
        <item x="79"/>
        <item x="169"/>
        <item x="263"/>
        <item x="418"/>
        <item x="312"/>
        <item x="320"/>
        <item x="44"/>
        <item x="46"/>
        <item x="6"/>
        <item x="230"/>
        <item x="380"/>
        <item x="279"/>
        <item x="23"/>
        <item x="424"/>
        <item x="19"/>
        <item x="391"/>
        <item x="199"/>
        <item x="253"/>
        <item x="456"/>
        <item x="202"/>
        <item x="322"/>
        <item x="70"/>
        <item x="218"/>
        <item x="255"/>
        <item x="481"/>
        <item x="291"/>
        <item x="406"/>
        <item x="149"/>
        <item x="375"/>
        <item x="327"/>
        <item x="333"/>
        <item x="370"/>
        <item x="229"/>
        <item x="133"/>
        <item x="430"/>
        <item x="110"/>
        <item x="183"/>
        <item x="112"/>
        <item x="161"/>
        <item x="184"/>
        <item x="214"/>
        <item x="273"/>
        <item x="171"/>
        <item x="67"/>
        <item x="239"/>
        <item x="207"/>
        <item x="408"/>
        <item x="203"/>
        <item x="231"/>
        <item x="132"/>
        <item x="448"/>
        <item x="246"/>
        <item x="399"/>
        <item x="16"/>
        <item x="146"/>
        <item x="392"/>
        <item x="455"/>
        <item x="101"/>
        <item x="174"/>
        <item x="328"/>
        <item x="69"/>
        <item x="126"/>
        <item x="405"/>
        <item x="72"/>
        <item x="228"/>
        <item x="323"/>
        <item x="303"/>
        <item x="411"/>
        <item x="461"/>
        <item x="314"/>
        <item x="106"/>
        <item x="158"/>
        <item x="102"/>
        <item x="52"/>
        <item x="148"/>
        <item x="348"/>
        <item x="379"/>
        <item x="341"/>
        <item x="298"/>
        <item x="350"/>
        <item x="188"/>
        <item x="24"/>
        <item x="189"/>
        <item x="34"/>
        <item x="359"/>
        <item x="378"/>
        <item x="185"/>
        <item x="384"/>
        <item x="300"/>
        <item x="139"/>
        <item x="423"/>
        <item x="166"/>
        <item x="109"/>
        <item x="388"/>
        <item x="282"/>
        <item x="376"/>
        <item x="426"/>
        <item x="7"/>
        <item x="117"/>
        <item x="458"/>
        <item x="364"/>
        <item x="476"/>
        <item x="344"/>
        <item x="422"/>
        <item x="131"/>
        <item x="459"/>
        <item x="3"/>
        <item x="318"/>
        <item x="460"/>
        <item x="398"/>
        <item t="default"/>
      </items>
      <autoSortScope>
        <pivotArea dataOnly="0" outline="0" fieldPosition="0">
          <references count="1">
            <reference field="4294967294" count="1" selected="0">
              <x v="1"/>
            </reference>
          </references>
        </pivotArea>
      </autoSortScope>
    </pivotField>
    <pivotField dataField="1" numFmtId="2" showAll="0"/>
    <pivotField numFmtId="2" showAll="0"/>
    <pivotField dataField="1" showAll="0"/>
    <pivotField showAll="0"/>
    <pivotField numFmtId="2" showAll="0"/>
    <pivotField showAll="0">
      <items count="4">
        <item x="1"/>
        <item x="2"/>
        <item x="0"/>
        <item t="default"/>
      </items>
    </pivotField>
  </pivotFields>
  <rowFields count="1">
    <field x="5"/>
  </rowFields>
  <rowItems count="11">
    <i>
      <x v="290"/>
    </i>
    <i>
      <x v="316"/>
    </i>
    <i>
      <x v="252"/>
    </i>
    <i>
      <x v="43"/>
    </i>
    <i>
      <x v="450"/>
    </i>
    <i>
      <x v="362"/>
    </i>
    <i>
      <x v="249"/>
    </i>
    <i>
      <x v="406"/>
    </i>
    <i>
      <x v="173"/>
    </i>
    <i>
      <x v="58"/>
    </i>
    <i t="grand">
      <x/>
    </i>
  </rowItems>
  <colFields count="1">
    <field x="-2"/>
  </colFields>
  <colItems count="2">
    <i>
      <x/>
    </i>
    <i i="1">
      <x v="1"/>
    </i>
  </colItems>
  <dataFields count="2">
    <dataField name="Sum of Quantity" fld="8" baseField="0" baseItem="0"/>
    <dataField name="Sum of Sales" fld="6" baseField="0" baseItem="0" numFmtId="2"/>
  </dataFields>
  <chartFormats count="8">
    <chartFormat chart="3" format="1" series="1">
      <pivotArea type="data" outline="0" fieldPosition="0">
        <references count="1">
          <reference field="4294967294" count="1" selected="0">
            <x v="0"/>
          </reference>
        </references>
      </pivotArea>
    </chartFormat>
    <chartFormat chart="16" format="14"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1"/>
          </reference>
        </references>
      </pivotArea>
    </chartFormat>
    <chartFormat chart="27" format="4"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1"/>
          </reference>
        </references>
      </pivotArea>
    </chartFormat>
    <chartFormat chart="29" format="4"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5" type="count" evalOrder="-1" id="3"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4FA05A2-F0B1-48C4-9A0B-5C0025947ECB}"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C43:J46" firstHeaderRow="1" firstDataRow="3" firstDataCol="0"/>
  <pivotFields count="12">
    <pivotField showAll="0"/>
    <pivotField showAll="0">
      <items count="13">
        <item x="2"/>
        <item x="4"/>
        <item x="8"/>
        <item x="1"/>
        <item x="6"/>
        <item x="0"/>
        <item x="5"/>
        <item x="7"/>
        <item x="3"/>
        <item x="10"/>
        <item x="9"/>
        <item x="11"/>
        <item t="default"/>
      </items>
    </pivotField>
    <pivotField showAll="0">
      <items count="5">
        <item x="0"/>
        <item x="3"/>
        <item x="2"/>
        <item x="1"/>
        <item t="default"/>
      </items>
    </pivotField>
    <pivotField axis="axisCol" showAll="0">
      <items count="4">
        <item x="2"/>
        <item x="0"/>
        <item x="1"/>
        <item t="default"/>
      </items>
    </pivotField>
    <pivotField showAll="0"/>
    <pivotField showAll="0"/>
    <pivotField dataField="1" numFmtId="2" showAll="0"/>
    <pivotField dataField="1" numFmtId="2" showAll="0"/>
    <pivotField showAll="0"/>
    <pivotField showAll="0"/>
    <pivotField numFmtId="2" showAll="0"/>
    <pivotField showAll="0">
      <items count="4">
        <item x="1"/>
        <item x="2"/>
        <item x="0"/>
        <item t="default"/>
      </items>
    </pivotField>
  </pivotFields>
  <rowItems count="1">
    <i/>
  </rowItems>
  <colFields count="2">
    <field x="3"/>
    <field x="-2"/>
  </colFields>
  <colItems count="8">
    <i>
      <x/>
      <x/>
    </i>
    <i r="1" i="1">
      <x v="1"/>
    </i>
    <i>
      <x v="1"/>
      <x/>
    </i>
    <i r="1" i="1">
      <x v="1"/>
    </i>
    <i>
      <x v="2"/>
      <x/>
    </i>
    <i r="1" i="1">
      <x v="1"/>
    </i>
    <i t="grand">
      <x/>
    </i>
    <i t="grand" i="1">
      <x/>
    </i>
  </colItems>
  <dataFields count="2">
    <dataField name="Sum of Sales" fld="6" baseField="0" baseItem="0" numFmtId="2"/>
    <dataField name="Sum of Cost" fld="7"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9918D15-7036-47D9-B36F-19FE7F9D9014}"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36:E37" firstHeaderRow="0" firstDataRow="1" firstDataCol="0"/>
  <pivotFields count="12">
    <pivotField showAll="0"/>
    <pivotField showAll="0">
      <items count="13">
        <item x="2"/>
        <item x="4"/>
        <item x="8"/>
        <item x="1"/>
        <item x="6"/>
        <item x="0"/>
        <item x="5"/>
        <item x="7"/>
        <item x="3"/>
        <item x="10"/>
        <item x="9"/>
        <item x="11"/>
        <item t="default"/>
      </items>
    </pivotField>
    <pivotField dataField="1" showAll="0">
      <items count="5">
        <item x="0"/>
        <item x="3"/>
        <item x="2"/>
        <item x="1"/>
        <item t="default"/>
      </items>
    </pivotField>
    <pivotField showAll="0">
      <items count="4">
        <item x="2"/>
        <item x="0"/>
        <item x="1"/>
        <item t="default"/>
      </items>
    </pivotField>
    <pivotField showAll="0"/>
    <pivotField showAll="0"/>
    <pivotField dataField="1" numFmtId="2" showAll="0"/>
    <pivotField numFmtId="2" showAll="0"/>
    <pivotField showAll="0"/>
    <pivotField showAll="0"/>
    <pivotField dataField="1" numFmtId="2" showAll="0"/>
    <pivotField showAll="0">
      <items count="4">
        <item x="1"/>
        <item x="2"/>
        <item x="0"/>
        <item t="default"/>
      </items>
    </pivotField>
  </pivotFields>
  <rowItems count="1">
    <i/>
  </rowItems>
  <colFields count="1">
    <field x="-2"/>
  </colFields>
  <colItems count="4">
    <i>
      <x/>
    </i>
    <i i="1">
      <x v="1"/>
    </i>
    <i i="2">
      <x v="2"/>
    </i>
    <i i="3">
      <x v="3"/>
    </i>
  </colItems>
  <dataFields count="4">
    <dataField name="Sum of Sales" fld="6" baseField="0" baseItem="0" numFmtId="2"/>
    <dataField name="Average of Profit2" fld="10" subtotal="average" baseField="0" baseItem="1" numFmtId="2"/>
    <dataField name="Count of Region" fld="2" subtotal="count" baseField="0" baseItem="0"/>
    <dataField name="Sum of Profit" fld="10" baseField="0" baseItem="0" numFmtId="2"/>
  </dataFields>
  <chartFormats count="1">
    <chartFormat chart="1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433FAC8-5985-487F-960B-577649DFEE06}"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B26:C31" firstHeaderRow="1" firstDataRow="1" firstDataCol="1"/>
  <pivotFields count="12">
    <pivotField showAll="0"/>
    <pivotField showAll="0">
      <items count="13">
        <item x="2"/>
        <item x="4"/>
        <item x="8"/>
        <item x="1"/>
        <item x="6"/>
        <item x="0"/>
        <item x="5"/>
        <item x="7"/>
        <item x="3"/>
        <item x="10"/>
        <item x="9"/>
        <item x="11"/>
        <item t="default"/>
      </items>
    </pivotField>
    <pivotField axis="axisRow" showAll="0">
      <items count="5">
        <item x="0"/>
        <item x="3"/>
        <item x="2"/>
        <item x="1"/>
        <item t="default"/>
      </items>
    </pivotField>
    <pivotField showAll="0">
      <items count="4">
        <item x="2"/>
        <item x="0"/>
        <item x="1"/>
        <item t="default"/>
      </items>
    </pivotField>
    <pivotField showAll="0"/>
    <pivotField showAll="0"/>
    <pivotField dataField="1" numFmtId="2" showAll="0"/>
    <pivotField numFmtId="2" showAll="0"/>
    <pivotField showAll="0"/>
    <pivotField showAll="0"/>
    <pivotField numFmtId="2" showAll="0"/>
    <pivotField showAll="0">
      <items count="4">
        <item x="1"/>
        <item x="2"/>
        <item x="0"/>
        <item t="default"/>
      </items>
    </pivotField>
  </pivotFields>
  <rowFields count="1">
    <field x="2"/>
  </rowFields>
  <rowItems count="5">
    <i>
      <x/>
    </i>
    <i>
      <x v="1"/>
    </i>
    <i>
      <x v="2"/>
    </i>
    <i>
      <x v="3"/>
    </i>
    <i t="grand">
      <x/>
    </i>
  </rowItems>
  <colItems count="1">
    <i/>
  </colItems>
  <dataFields count="1">
    <dataField name="Sum of Sales" fld="6" baseField="0" baseItem="0" numFmtId="2"/>
  </dataFields>
  <chartFormats count="10">
    <chartFormat chart="12" format="1"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0"/>
          </reference>
        </references>
      </pivotArea>
    </chartFormat>
    <chartFormat chart="14" format="8">
      <pivotArea type="data" outline="0" fieldPosition="0">
        <references count="2">
          <reference field="4294967294" count="1" selected="0">
            <x v="0"/>
          </reference>
          <reference field="2" count="1" selected="0">
            <x v="0"/>
          </reference>
        </references>
      </pivotArea>
    </chartFormat>
    <chartFormat chart="14" format="9">
      <pivotArea type="data" outline="0" fieldPosition="0">
        <references count="2">
          <reference field="4294967294" count="1" selected="0">
            <x v="0"/>
          </reference>
          <reference field="2" count="1" selected="0">
            <x v="1"/>
          </reference>
        </references>
      </pivotArea>
    </chartFormat>
    <chartFormat chart="14" format="10">
      <pivotArea type="data" outline="0" fieldPosition="0">
        <references count="2">
          <reference field="4294967294" count="1" selected="0">
            <x v="0"/>
          </reference>
          <reference field="2" count="1" selected="0">
            <x v="2"/>
          </reference>
        </references>
      </pivotArea>
    </chartFormat>
    <chartFormat chart="14" format="11">
      <pivotArea type="data" outline="0" fieldPosition="0">
        <references count="2">
          <reference field="4294967294" count="1" selected="0">
            <x v="0"/>
          </reference>
          <reference field="2" count="1" selected="0">
            <x v="3"/>
          </reference>
        </references>
      </pivotArea>
    </chartFormat>
    <chartFormat chart="12" format="2">
      <pivotArea type="data" outline="0" fieldPosition="0">
        <references count="2">
          <reference field="4294967294" count="1" selected="0">
            <x v="0"/>
          </reference>
          <reference field="2" count="1" selected="0">
            <x v="0"/>
          </reference>
        </references>
      </pivotArea>
    </chartFormat>
    <chartFormat chart="12" format="3">
      <pivotArea type="data" outline="0" fieldPosition="0">
        <references count="2">
          <reference field="4294967294" count="1" selected="0">
            <x v="0"/>
          </reference>
          <reference field="2" count="1" selected="0">
            <x v="1"/>
          </reference>
        </references>
      </pivotArea>
    </chartFormat>
    <chartFormat chart="12" format="4">
      <pivotArea type="data" outline="0" fieldPosition="0">
        <references count="2">
          <reference field="4294967294" count="1" selected="0">
            <x v="0"/>
          </reference>
          <reference field="2" count="1" selected="0">
            <x v="2"/>
          </reference>
        </references>
      </pivotArea>
    </chartFormat>
    <chartFormat chart="12" format="5">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8C44086A-6D15-4BE0-B76F-3DA1C0E82125}" sourceName="Customer Type">
  <pivotTables>
    <pivotTable tabId="34" name="PivotTable5"/>
    <pivotTable tabId="34" name="PivotTable2"/>
    <pivotTable tabId="34" name="PivotTable3"/>
    <pivotTable tabId="34" name="PivotTable4"/>
    <pivotTable tabId="34" name="PivotTable6"/>
    <pivotTable tabId="34" name="PivotTable7"/>
    <pivotTable tabId="34" name="PivotTable1"/>
  </pivotTables>
  <data>
    <tabular pivotCacheId="967818198">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5EC6F99-41B2-4052-97B9-08A0A3078E6F}" sourceName="Category">
  <pivotTables>
    <pivotTable tabId="34" name="PivotTable5"/>
    <pivotTable tabId="34" name="PivotTable2"/>
    <pivotTable tabId="34" name="PivotTable3"/>
    <pivotTable tabId="34" name="PivotTable4"/>
    <pivotTable tabId="34" name="PivotTable6"/>
    <pivotTable tabId="34" name="PivotTable7"/>
    <pivotTable tabId="34" name="PivotTable1"/>
  </pivotTables>
  <data>
    <tabular pivotCacheId="967818198">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1" xr10:uid="{AB44E726-0E66-4190-AAD1-FC1A1188C667}" cache="Slicer_Customer_Type" caption="Customer Type" style="SlicerStyleOther2" rowHeight="234950"/>
  <slicer name="Category 1" xr10:uid="{B6E50F61-3C66-4154-830E-2CBD344598B6}"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xr10:uid="{9E6085C3-A338-446B-A0F8-C5414EA8D17F}" cache="Slicer_Customer_Type" caption="Customer Type" style="SlicerStyleOther2" rowHeight="234950"/>
  <slicer name="Category 2" xr10:uid="{FBB257BC-2E9A-4D80-9BB7-B77FFE4A0152}" cache="Slicer_Category" caption="Category"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 Id="rId9"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C622B-C005-47AE-9E6A-AD2415C9F15A}">
  <dimension ref="A1:M501"/>
  <sheetViews>
    <sheetView workbookViewId="0">
      <selection activeCell="P19" sqref="P19"/>
    </sheetView>
  </sheetViews>
  <sheetFormatPr defaultRowHeight="14.4" x14ac:dyDescent="0.3"/>
  <cols>
    <col min="3" max="3" width="14.33203125" bestFit="1" customWidth="1"/>
    <col min="4" max="4" width="9.109375" style="38"/>
    <col min="5" max="5" width="13.109375" bestFit="1" customWidth="1"/>
    <col min="6" max="6" width="12.44140625" bestFit="1" customWidth="1"/>
    <col min="7" max="7" width="18.44140625" style="38" bestFit="1" customWidth="1"/>
    <col min="8" max="8" width="9.109375" style="19"/>
    <col min="9" max="9" width="8.88671875" style="19"/>
    <col min="12" max="12" width="8.88671875" style="19"/>
    <col min="13" max="13" width="13.6640625" bestFit="1" customWidth="1"/>
    <col min="14" max="14" width="10.33203125" bestFit="1" customWidth="1"/>
  </cols>
  <sheetData>
    <row r="1" spans="1:13" x14ac:dyDescent="0.3">
      <c r="A1" s="1" t="s">
        <v>0</v>
      </c>
      <c r="B1" s="7" t="s">
        <v>1</v>
      </c>
      <c r="C1" s="17" t="s">
        <v>1342</v>
      </c>
      <c r="D1" s="39" t="s">
        <v>2</v>
      </c>
      <c r="E1" s="1" t="s">
        <v>3</v>
      </c>
      <c r="F1" s="1" t="s">
        <v>4</v>
      </c>
      <c r="G1" s="37" t="s">
        <v>5</v>
      </c>
      <c r="H1" s="18" t="s">
        <v>6</v>
      </c>
      <c r="I1" s="18" t="s">
        <v>1368</v>
      </c>
      <c r="J1" s="1" t="s">
        <v>7</v>
      </c>
      <c r="K1" s="1" t="s">
        <v>8</v>
      </c>
      <c r="L1" s="18" t="s">
        <v>9</v>
      </c>
      <c r="M1" s="1" t="s">
        <v>10</v>
      </c>
    </row>
    <row r="2" spans="1:13" x14ac:dyDescent="0.3">
      <c r="A2" t="s">
        <v>11</v>
      </c>
      <c r="B2" s="2" t="s">
        <v>511</v>
      </c>
      <c r="C2" s="2" t="s">
        <v>1349</v>
      </c>
      <c r="D2" s="38" t="s">
        <v>783</v>
      </c>
      <c r="E2" t="s">
        <v>787</v>
      </c>
      <c r="F2" t="s">
        <v>790</v>
      </c>
      <c r="G2" s="38" t="s">
        <v>802</v>
      </c>
      <c r="H2" s="19">
        <v>939.29</v>
      </c>
      <c r="I2" s="19">
        <v>852.92</v>
      </c>
      <c r="J2">
        <v>9</v>
      </c>
      <c r="K2">
        <v>0.05</v>
      </c>
      <c r="L2" s="19">
        <v>86.37</v>
      </c>
      <c r="M2" t="s">
        <v>1289</v>
      </c>
    </row>
    <row r="3" spans="1:13" x14ac:dyDescent="0.3">
      <c r="A3" t="s">
        <v>12</v>
      </c>
      <c r="B3" s="2" t="s">
        <v>512</v>
      </c>
      <c r="C3" s="2" t="s">
        <v>1343</v>
      </c>
      <c r="D3" s="38" t="s">
        <v>784</v>
      </c>
      <c r="E3" t="s">
        <v>788</v>
      </c>
      <c r="F3" t="s">
        <v>791</v>
      </c>
      <c r="G3" s="38" t="s">
        <v>803</v>
      </c>
      <c r="H3" s="19">
        <v>120.25</v>
      </c>
      <c r="I3" s="19">
        <v>88.92</v>
      </c>
      <c r="J3">
        <v>6</v>
      </c>
      <c r="K3">
        <v>0</v>
      </c>
      <c r="L3" s="19">
        <v>31.33</v>
      </c>
      <c r="M3" t="s">
        <v>1290</v>
      </c>
    </row>
    <row r="4" spans="1:13" x14ac:dyDescent="0.3">
      <c r="A4" t="s">
        <v>13</v>
      </c>
      <c r="B4" s="2" t="s">
        <v>513</v>
      </c>
      <c r="C4" s="2" t="s">
        <v>1347</v>
      </c>
      <c r="D4" s="38" t="s">
        <v>785</v>
      </c>
      <c r="E4" t="s">
        <v>788</v>
      </c>
      <c r="F4" t="s">
        <v>791</v>
      </c>
      <c r="G4" s="38" t="s">
        <v>804</v>
      </c>
      <c r="H4" s="19">
        <v>706.1</v>
      </c>
      <c r="I4" s="19">
        <v>614.25</v>
      </c>
      <c r="J4">
        <v>4</v>
      </c>
      <c r="K4">
        <v>0.15</v>
      </c>
      <c r="L4" s="19">
        <v>91.85</v>
      </c>
      <c r="M4" t="s">
        <v>1289</v>
      </c>
    </row>
    <row r="5" spans="1:13" x14ac:dyDescent="0.3">
      <c r="A5" t="s">
        <v>14</v>
      </c>
      <c r="B5" s="2" t="s">
        <v>514</v>
      </c>
      <c r="C5" s="2" t="s">
        <v>1354</v>
      </c>
      <c r="D5" s="38" t="s">
        <v>784</v>
      </c>
      <c r="E5" t="s">
        <v>787</v>
      </c>
      <c r="F5" t="s">
        <v>792</v>
      </c>
      <c r="G5" s="38" t="s">
        <v>805</v>
      </c>
      <c r="H5" s="19">
        <v>669.02</v>
      </c>
      <c r="I5" s="19">
        <v>582.65</v>
      </c>
      <c r="J5">
        <v>1</v>
      </c>
      <c r="K5">
        <v>0.1</v>
      </c>
      <c r="L5" s="19">
        <v>86.37</v>
      </c>
      <c r="M5" t="s">
        <v>1289</v>
      </c>
    </row>
    <row r="6" spans="1:13" x14ac:dyDescent="0.3">
      <c r="A6" t="s">
        <v>15</v>
      </c>
      <c r="B6" s="2" t="s">
        <v>515</v>
      </c>
      <c r="C6" s="2" t="s">
        <v>1346</v>
      </c>
      <c r="D6" s="38" t="s">
        <v>785</v>
      </c>
      <c r="E6" t="s">
        <v>787</v>
      </c>
      <c r="F6" t="s">
        <v>790</v>
      </c>
      <c r="G6" s="38" t="s">
        <v>806</v>
      </c>
      <c r="H6" s="19">
        <v>1920.14</v>
      </c>
      <c r="I6" s="19">
        <v>1667.3100000000002</v>
      </c>
      <c r="J6">
        <v>6</v>
      </c>
      <c r="K6">
        <v>0.15</v>
      </c>
      <c r="L6" s="19">
        <v>252.83</v>
      </c>
      <c r="M6" t="s">
        <v>1291</v>
      </c>
    </row>
    <row r="7" spans="1:13" x14ac:dyDescent="0.3">
      <c r="A7" t="s">
        <v>16</v>
      </c>
      <c r="B7" s="2" t="s">
        <v>516</v>
      </c>
      <c r="C7" s="2" t="s">
        <v>1348</v>
      </c>
      <c r="D7" s="38" t="s">
        <v>784</v>
      </c>
      <c r="E7" t="s">
        <v>788</v>
      </c>
      <c r="F7" t="s">
        <v>793</v>
      </c>
      <c r="G7" s="38" t="s">
        <v>807</v>
      </c>
      <c r="H7" s="19">
        <v>1058.54</v>
      </c>
      <c r="I7" s="19">
        <v>805.6099999999999</v>
      </c>
      <c r="J7">
        <v>3</v>
      </c>
      <c r="K7">
        <v>0.05</v>
      </c>
      <c r="L7" s="19">
        <v>252.93</v>
      </c>
      <c r="M7" t="s">
        <v>1290</v>
      </c>
    </row>
    <row r="8" spans="1:13" x14ac:dyDescent="0.3">
      <c r="A8" t="s">
        <v>17</v>
      </c>
      <c r="B8" s="2" t="s">
        <v>517</v>
      </c>
      <c r="C8" s="2" t="s">
        <v>1348</v>
      </c>
      <c r="D8" s="38" t="s">
        <v>786</v>
      </c>
      <c r="E8" t="s">
        <v>789</v>
      </c>
      <c r="F8" t="s">
        <v>794</v>
      </c>
      <c r="G8" s="38" t="s">
        <v>808</v>
      </c>
      <c r="H8" s="19">
        <v>1171.1199999999999</v>
      </c>
      <c r="I8" s="19">
        <v>1278.4499999999998</v>
      </c>
      <c r="J8">
        <v>10</v>
      </c>
      <c r="K8">
        <v>0.15</v>
      </c>
      <c r="L8" s="19">
        <v>-107.33</v>
      </c>
      <c r="M8" t="s">
        <v>1289</v>
      </c>
    </row>
    <row r="9" spans="1:13" x14ac:dyDescent="0.3">
      <c r="A9" t="s">
        <v>18</v>
      </c>
      <c r="B9" s="2" t="s">
        <v>518</v>
      </c>
      <c r="C9" s="2" t="s">
        <v>1348</v>
      </c>
      <c r="D9" s="38" t="s">
        <v>784</v>
      </c>
      <c r="E9" t="s">
        <v>787</v>
      </c>
      <c r="F9" t="s">
        <v>792</v>
      </c>
      <c r="G9" s="38" t="s">
        <v>809</v>
      </c>
      <c r="H9" s="19">
        <v>1044.52</v>
      </c>
      <c r="I9" s="19">
        <v>1040.2</v>
      </c>
      <c r="J9">
        <v>1</v>
      </c>
      <c r="K9">
        <v>0.1</v>
      </c>
      <c r="L9" s="19">
        <v>4.32</v>
      </c>
      <c r="M9" t="s">
        <v>1289</v>
      </c>
    </row>
    <row r="10" spans="1:13" x14ac:dyDescent="0.3">
      <c r="A10" t="s">
        <v>19</v>
      </c>
      <c r="B10" s="2" t="s">
        <v>519</v>
      </c>
      <c r="C10" s="2" t="s">
        <v>1351</v>
      </c>
      <c r="D10" s="38" t="s">
        <v>784</v>
      </c>
      <c r="E10" t="s">
        <v>788</v>
      </c>
      <c r="F10" t="s">
        <v>795</v>
      </c>
      <c r="G10" s="38" t="s">
        <v>810</v>
      </c>
      <c r="H10" s="19">
        <v>644.08000000000004</v>
      </c>
      <c r="I10" s="19">
        <v>691.52</v>
      </c>
      <c r="J10">
        <v>3</v>
      </c>
      <c r="K10">
        <v>0.15</v>
      </c>
      <c r="L10" s="19">
        <v>-47.44</v>
      </c>
      <c r="M10" t="s">
        <v>1290</v>
      </c>
    </row>
    <row r="11" spans="1:13" x14ac:dyDescent="0.3">
      <c r="A11" t="s">
        <v>20</v>
      </c>
      <c r="B11" s="2" t="s">
        <v>520</v>
      </c>
      <c r="C11" s="2" t="s">
        <v>1344</v>
      </c>
      <c r="D11" s="38" t="s">
        <v>784</v>
      </c>
      <c r="E11" t="s">
        <v>788</v>
      </c>
      <c r="F11" t="s">
        <v>791</v>
      </c>
      <c r="G11" s="38" t="s">
        <v>811</v>
      </c>
      <c r="H11" s="19">
        <v>854.51</v>
      </c>
      <c r="I11" s="19">
        <v>740.16</v>
      </c>
      <c r="J11">
        <v>7</v>
      </c>
      <c r="K11">
        <v>0.1</v>
      </c>
      <c r="L11" s="19">
        <v>114.35</v>
      </c>
      <c r="M11" t="s">
        <v>1289</v>
      </c>
    </row>
    <row r="12" spans="1:13" x14ac:dyDescent="0.3">
      <c r="A12" t="s">
        <v>21</v>
      </c>
      <c r="B12" s="2" t="s">
        <v>521</v>
      </c>
      <c r="C12" s="2" t="s">
        <v>1350</v>
      </c>
      <c r="D12" s="38" t="s">
        <v>785</v>
      </c>
      <c r="E12" t="s">
        <v>788</v>
      </c>
      <c r="F12" t="s">
        <v>796</v>
      </c>
      <c r="G12" s="38" t="s">
        <v>812</v>
      </c>
      <c r="H12" s="19">
        <v>604.76</v>
      </c>
      <c r="I12" s="19">
        <v>619.27</v>
      </c>
      <c r="J12">
        <v>8</v>
      </c>
      <c r="K12">
        <v>0.1</v>
      </c>
      <c r="L12" s="19">
        <v>-14.51</v>
      </c>
      <c r="M12" t="s">
        <v>1290</v>
      </c>
    </row>
    <row r="13" spans="1:13" x14ac:dyDescent="0.3">
      <c r="A13" t="s">
        <v>22</v>
      </c>
      <c r="B13" s="2" t="s">
        <v>522</v>
      </c>
      <c r="C13" s="2" t="s">
        <v>1354</v>
      </c>
      <c r="D13" s="38" t="s">
        <v>783</v>
      </c>
      <c r="E13" t="s">
        <v>788</v>
      </c>
      <c r="F13" t="s">
        <v>793</v>
      </c>
      <c r="G13" s="38" t="s">
        <v>813</v>
      </c>
      <c r="H13" s="19">
        <v>1783.63</v>
      </c>
      <c r="I13" s="19">
        <v>1687.91</v>
      </c>
      <c r="J13">
        <v>4</v>
      </c>
      <c r="K13">
        <v>0.2</v>
      </c>
      <c r="L13" s="19">
        <v>95.72</v>
      </c>
      <c r="M13" t="s">
        <v>1291</v>
      </c>
    </row>
    <row r="14" spans="1:13" x14ac:dyDescent="0.3">
      <c r="A14" t="s">
        <v>23</v>
      </c>
      <c r="B14" s="2" t="s">
        <v>523</v>
      </c>
      <c r="C14" s="2" t="s">
        <v>1352</v>
      </c>
      <c r="D14" s="38" t="s">
        <v>786</v>
      </c>
      <c r="E14" t="s">
        <v>789</v>
      </c>
      <c r="F14" t="s">
        <v>797</v>
      </c>
      <c r="G14" s="38" t="s">
        <v>814</v>
      </c>
      <c r="H14" s="19">
        <v>887.31</v>
      </c>
      <c r="I14" s="19">
        <v>682.66</v>
      </c>
      <c r="J14">
        <v>3</v>
      </c>
      <c r="K14">
        <v>0</v>
      </c>
      <c r="L14" s="19">
        <v>204.65</v>
      </c>
      <c r="M14" t="s">
        <v>1291</v>
      </c>
    </row>
    <row r="15" spans="1:13" x14ac:dyDescent="0.3">
      <c r="A15" t="s">
        <v>24</v>
      </c>
      <c r="B15" s="2" t="s">
        <v>524</v>
      </c>
      <c r="C15" s="2" t="s">
        <v>1354</v>
      </c>
      <c r="D15" s="38" t="s">
        <v>786</v>
      </c>
      <c r="E15" t="s">
        <v>789</v>
      </c>
      <c r="F15" t="s">
        <v>798</v>
      </c>
      <c r="G15" s="38" t="s">
        <v>815</v>
      </c>
      <c r="H15" s="19">
        <v>1887.78</v>
      </c>
      <c r="I15" s="19">
        <v>1929.78</v>
      </c>
      <c r="J15">
        <v>8</v>
      </c>
      <c r="K15">
        <v>0.2</v>
      </c>
      <c r="L15" s="19">
        <v>-42</v>
      </c>
      <c r="M15" t="s">
        <v>1289</v>
      </c>
    </row>
    <row r="16" spans="1:13" x14ac:dyDescent="0.3">
      <c r="A16" t="s">
        <v>25</v>
      </c>
      <c r="B16" s="2" t="s">
        <v>525</v>
      </c>
      <c r="C16" s="2" t="s">
        <v>1349</v>
      </c>
      <c r="D16" s="38" t="s">
        <v>786</v>
      </c>
      <c r="E16" t="s">
        <v>789</v>
      </c>
      <c r="F16" t="s">
        <v>797</v>
      </c>
      <c r="G16" s="38" t="s">
        <v>816</v>
      </c>
      <c r="H16" s="19">
        <v>1141.98</v>
      </c>
      <c r="I16" s="19">
        <v>1091.5999999999999</v>
      </c>
      <c r="J16">
        <v>2</v>
      </c>
      <c r="K16">
        <v>0.05</v>
      </c>
      <c r="L16" s="19">
        <v>50.38</v>
      </c>
      <c r="M16" t="s">
        <v>1291</v>
      </c>
    </row>
    <row r="17" spans="1:13" x14ac:dyDescent="0.3">
      <c r="A17" t="s">
        <v>26</v>
      </c>
      <c r="B17" s="2" t="s">
        <v>526</v>
      </c>
      <c r="C17" s="2" t="s">
        <v>1354</v>
      </c>
      <c r="D17" s="38" t="s">
        <v>785</v>
      </c>
      <c r="E17" t="s">
        <v>789</v>
      </c>
      <c r="F17" t="s">
        <v>798</v>
      </c>
      <c r="G17" s="38" t="s">
        <v>817</v>
      </c>
      <c r="H17" s="19">
        <v>142.13</v>
      </c>
      <c r="I17" s="19">
        <v>118.03</v>
      </c>
      <c r="J17">
        <v>7</v>
      </c>
      <c r="K17">
        <v>0.1</v>
      </c>
      <c r="L17" s="19">
        <v>24.1</v>
      </c>
      <c r="M17" t="s">
        <v>1290</v>
      </c>
    </row>
    <row r="18" spans="1:13" x14ac:dyDescent="0.3">
      <c r="A18" t="s">
        <v>27</v>
      </c>
      <c r="B18" s="2" t="s">
        <v>527</v>
      </c>
      <c r="C18" s="2" t="s">
        <v>1350</v>
      </c>
      <c r="D18" s="38" t="s">
        <v>784</v>
      </c>
      <c r="E18" t="s">
        <v>789</v>
      </c>
      <c r="F18" t="s">
        <v>799</v>
      </c>
      <c r="G18" s="38" t="s">
        <v>818</v>
      </c>
      <c r="H18" s="19">
        <v>320.69</v>
      </c>
      <c r="I18" s="19">
        <v>316.87</v>
      </c>
      <c r="J18">
        <v>10</v>
      </c>
      <c r="K18">
        <v>0.05</v>
      </c>
      <c r="L18" s="19">
        <v>3.82</v>
      </c>
      <c r="M18" t="s">
        <v>1291</v>
      </c>
    </row>
    <row r="19" spans="1:13" x14ac:dyDescent="0.3">
      <c r="A19" t="s">
        <v>28</v>
      </c>
      <c r="B19" s="2" t="s">
        <v>528</v>
      </c>
      <c r="C19" s="2" t="s">
        <v>1348</v>
      </c>
      <c r="D19" s="38" t="s">
        <v>784</v>
      </c>
      <c r="E19" t="s">
        <v>787</v>
      </c>
      <c r="F19" t="s">
        <v>800</v>
      </c>
      <c r="G19" s="38" t="s">
        <v>819</v>
      </c>
      <c r="H19" s="19">
        <v>440.45</v>
      </c>
      <c r="I19" s="19">
        <v>456.44</v>
      </c>
      <c r="J19">
        <v>9</v>
      </c>
      <c r="K19">
        <v>0.15</v>
      </c>
      <c r="L19" s="19">
        <v>-15.99</v>
      </c>
      <c r="M19" t="s">
        <v>1289</v>
      </c>
    </row>
    <row r="20" spans="1:13" x14ac:dyDescent="0.3">
      <c r="A20" t="s">
        <v>29</v>
      </c>
      <c r="B20" s="2" t="s">
        <v>529</v>
      </c>
      <c r="C20" s="2" t="s">
        <v>1348</v>
      </c>
      <c r="D20" s="38" t="s">
        <v>785</v>
      </c>
      <c r="E20" t="s">
        <v>789</v>
      </c>
      <c r="F20" t="s">
        <v>798</v>
      </c>
      <c r="G20" s="38" t="s">
        <v>820</v>
      </c>
      <c r="H20" s="19">
        <v>545.57000000000005</v>
      </c>
      <c r="I20" s="19">
        <v>480.96000000000004</v>
      </c>
      <c r="J20">
        <v>9</v>
      </c>
      <c r="K20">
        <v>0.1</v>
      </c>
      <c r="L20" s="19">
        <v>64.61</v>
      </c>
      <c r="M20" t="s">
        <v>1291</v>
      </c>
    </row>
    <row r="21" spans="1:13" x14ac:dyDescent="0.3">
      <c r="A21" t="s">
        <v>30</v>
      </c>
      <c r="B21" s="2" t="s">
        <v>530</v>
      </c>
      <c r="C21" s="2" t="s">
        <v>1343</v>
      </c>
      <c r="D21" s="38" t="s">
        <v>786</v>
      </c>
      <c r="E21" t="s">
        <v>789</v>
      </c>
      <c r="F21" t="s">
        <v>794</v>
      </c>
      <c r="G21" s="38" t="s">
        <v>821</v>
      </c>
      <c r="H21" s="19">
        <v>1957.63</v>
      </c>
      <c r="I21" s="19">
        <v>1824.39</v>
      </c>
      <c r="J21">
        <v>3</v>
      </c>
      <c r="K21">
        <v>0.2</v>
      </c>
      <c r="L21" s="19">
        <v>133.24</v>
      </c>
      <c r="M21" t="s">
        <v>1289</v>
      </c>
    </row>
    <row r="22" spans="1:13" x14ac:dyDescent="0.3">
      <c r="A22" t="s">
        <v>31</v>
      </c>
      <c r="B22" s="2" t="s">
        <v>531</v>
      </c>
      <c r="C22" s="2" t="s">
        <v>1353</v>
      </c>
      <c r="D22" s="38" t="s">
        <v>783</v>
      </c>
      <c r="E22" t="s">
        <v>788</v>
      </c>
      <c r="F22" t="s">
        <v>796</v>
      </c>
      <c r="G22" s="38" t="s">
        <v>822</v>
      </c>
      <c r="H22" s="19">
        <v>110.63</v>
      </c>
      <c r="I22" s="19">
        <v>119.22</v>
      </c>
      <c r="J22">
        <v>1</v>
      </c>
      <c r="K22">
        <v>0.2</v>
      </c>
      <c r="L22" s="19">
        <v>-8.59</v>
      </c>
      <c r="M22" t="s">
        <v>1291</v>
      </c>
    </row>
    <row r="23" spans="1:13" x14ac:dyDescent="0.3">
      <c r="A23" t="s">
        <v>32</v>
      </c>
      <c r="B23" s="2" t="s">
        <v>532</v>
      </c>
      <c r="C23" s="2" t="s">
        <v>1349</v>
      </c>
      <c r="D23" s="38" t="s">
        <v>785</v>
      </c>
      <c r="E23" t="s">
        <v>788</v>
      </c>
      <c r="F23" t="s">
        <v>793</v>
      </c>
      <c r="G23" s="38" t="s">
        <v>823</v>
      </c>
      <c r="H23" s="19">
        <v>1061.76</v>
      </c>
      <c r="I23" s="19">
        <v>1027.95</v>
      </c>
      <c r="J23">
        <v>10</v>
      </c>
      <c r="K23">
        <v>0.05</v>
      </c>
      <c r="L23" s="19">
        <v>33.81</v>
      </c>
      <c r="M23" t="s">
        <v>1290</v>
      </c>
    </row>
    <row r="24" spans="1:13" x14ac:dyDescent="0.3">
      <c r="A24" t="s">
        <v>33</v>
      </c>
      <c r="B24" s="2" t="s">
        <v>533</v>
      </c>
      <c r="C24" s="2" t="s">
        <v>1344</v>
      </c>
      <c r="D24" s="38" t="s">
        <v>783</v>
      </c>
      <c r="E24" t="s">
        <v>788</v>
      </c>
      <c r="F24" t="s">
        <v>795</v>
      </c>
      <c r="G24" s="38" t="s">
        <v>824</v>
      </c>
      <c r="H24" s="19">
        <v>1293.3399999999999</v>
      </c>
      <c r="I24" s="19">
        <v>1106.01</v>
      </c>
      <c r="J24">
        <v>6</v>
      </c>
      <c r="K24">
        <v>0.15</v>
      </c>
      <c r="L24" s="19">
        <v>187.33</v>
      </c>
      <c r="M24" t="s">
        <v>1289</v>
      </c>
    </row>
    <row r="25" spans="1:13" x14ac:dyDescent="0.3">
      <c r="A25" t="s">
        <v>34</v>
      </c>
      <c r="B25" s="2" t="s">
        <v>534</v>
      </c>
      <c r="C25" s="2" t="s">
        <v>1353</v>
      </c>
      <c r="D25" s="38" t="s">
        <v>786</v>
      </c>
      <c r="E25" t="s">
        <v>789</v>
      </c>
      <c r="F25" t="s">
        <v>794</v>
      </c>
      <c r="G25" s="38" t="s">
        <v>825</v>
      </c>
      <c r="H25" s="19">
        <v>1215.31</v>
      </c>
      <c r="I25" s="19">
        <v>1101.52</v>
      </c>
      <c r="J25">
        <v>6</v>
      </c>
      <c r="K25">
        <v>0.15</v>
      </c>
      <c r="L25" s="19">
        <v>113.79</v>
      </c>
      <c r="M25" t="s">
        <v>1290</v>
      </c>
    </row>
    <row r="26" spans="1:13" x14ac:dyDescent="0.3">
      <c r="A26" t="s">
        <v>35</v>
      </c>
      <c r="B26" s="2" t="s">
        <v>535</v>
      </c>
      <c r="C26" s="2" t="s">
        <v>1349</v>
      </c>
      <c r="D26" s="38" t="s">
        <v>783</v>
      </c>
      <c r="E26" t="s">
        <v>787</v>
      </c>
      <c r="F26" t="s">
        <v>792</v>
      </c>
      <c r="G26" s="38" t="s">
        <v>826</v>
      </c>
      <c r="H26" s="19">
        <v>531.03</v>
      </c>
      <c r="I26" s="19">
        <v>461.02</v>
      </c>
      <c r="J26">
        <v>1</v>
      </c>
      <c r="K26">
        <v>0.05</v>
      </c>
      <c r="L26" s="19">
        <v>70.010000000000005</v>
      </c>
      <c r="M26" t="s">
        <v>1290</v>
      </c>
    </row>
    <row r="27" spans="1:13" x14ac:dyDescent="0.3">
      <c r="A27" t="s">
        <v>36</v>
      </c>
      <c r="B27" s="2" t="s">
        <v>536</v>
      </c>
      <c r="C27" s="2" t="s">
        <v>1346</v>
      </c>
      <c r="D27" s="38" t="s">
        <v>783</v>
      </c>
      <c r="E27" t="s">
        <v>788</v>
      </c>
      <c r="F27" t="s">
        <v>793</v>
      </c>
      <c r="G27" s="38" t="s">
        <v>827</v>
      </c>
      <c r="H27" s="19">
        <v>1990.61</v>
      </c>
      <c r="I27" s="19">
        <v>2080.4</v>
      </c>
      <c r="J27">
        <v>5</v>
      </c>
      <c r="K27">
        <v>0.15</v>
      </c>
      <c r="L27" s="19">
        <v>-89.79</v>
      </c>
      <c r="M27" t="s">
        <v>1290</v>
      </c>
    </row>
    <row r="28" spans="1:13" x14ac:dyDescent="0.3">
      <c r="A28" t="s">
        <v>37</v>
      </c>
      <c r="B28" s="2" t="s">
        <v>537</v>
      </c>
      <c r="C28" s="2" t="s">
        <v>1346</v>
      </c>
      <c r="D28" s="38" t="s">
        <v>784</v>
      </c>
      <c r="E28" t="s">
        <v>788</v>
      </c>
      <c r="F28" t="s">
        <v>793</v>
      </c>
      <c r="G28" s="38" t="s">
        <v>828</v>
      </c>
      <c r="H28" s="19">
        <v>1096.6500000000001</v>
      </c>
      <c r="I28" s="19">
        <v>1095.69</v>
      </c>
      <c r="J28">
        <v>9</v>
      </c>
      <c r="K28">
        <v>0.1</v>
      </c>
      <c r="L28" s="19">
        <v>0.96</v>
      </c>
      <c r="M28" t="s">
        <v>1290</v>
      </c>
    </row>
    <row r="29" spans="1:13" x14ac:dyDescent="0.3">
      <c r="A29" t="s">
        <v>38</v>
      </c>
      <c r="B29" s="2" t="s">
        <v>538</v>
      </c>
      <c r="C29" s="2" t="s">
        <v>1345</v>
      </c>
      <c r="D29" s="38" t="s">
        <v>786</v>
      </c>
      <c r="E29" t="s">
        <v>789</v>
      </c>
      <c r="F29" t="s">
        <v>797</v>
      </c>
      <c r="G29" s="38" t="s">
        <v>829</v>
      </c>
      <c r="H29" s="19">
        <v>517.61</v>
      </c>
      <c r="I29" s="19">
        <v>590.32000000000005</v>
      </c>
      <c r="J29">
        <v>10</v>
      </c>
      <c r="K29">
        <v>0.2</v>
      </c>
      <c r="L29" s="19">
        <v>-72.709999999999994</v>
      </c>
      <c r="M29" t="s">
        <v>1289</v>
      </c>
    </row>
    <row r="30" spans="1:13" x14ac:dyDescent="0.3">
      <c r="A30" t="s">
        <v>39</v>
      </c>
      <c r="B30" s="2" t="s">
        <v>539</v>
      </c>
      <c r="C30" s="2" t="s">
        <v>1350</v>
      </c>
      <c r="D30" s="38" t="s">
        <v>786</v>
      </c>
      <c r="E30" t="s">
        <v>788</v>
      </c>
      <c r="F30" t="s">
        <v>791</v>
      </c>
      <c r="G30" s="38" t="s">
        <v>830</v>
      </c>
      <c r="H30" s="19">
        <v>152.88</v>
      </c>
      <c r="I30" s="19">
        <v>172.35999999999999</v>
      </c>
      <c r="J30">
        <v>8</v>
      </c>
      <c r="K30">
        <v>0.2</v>
      </c>
      <c r="L30" s="19">
        <v>-19.48</v>
      </c>
      <c r="M30" t="s">
        <v>1289</v>
      </c>
    </row>
    <row r="31" spans="1:13" x14ac:dyDescent="0.3">
      <c r="A31" t="s">
        <v>40</v>
      </c>
      <c r="B31" s="2" t="s">
        <v>540</v>
      </c>
      <c r="C31" s="2" t="s">
        <v>1344</v>
      </c>
      <c r="D31" s="38" t="s">
        <v>786</v>
      </c>
      <c r="E31" t="s">
        <v>787</v>
      </c>
      <c r="F31" t="s">
        <v>800</v>
      </c>
      <c r="G31" s="38" t="s">
        <v>831</v>
      </c>
      <c r="H31" s="19">
        <v>1742.66</v>
      </c>
      <c r="I31" s="19">
        <v>1371.93</v>
      </c>
      <c r="J31">
        <v>2</v>
      </c>
      <c r="K31">
        <v>0</v>
      </c>
      <c r="L31" s="19">
        <v>370.73</v>
      </c>
      <c r="M31" t="s">
        <v>1289</v>
      </c>
    </row>
    <row r="32" spans="1:13" x14ac:dyDescent="0.3">
      <c r="A32" t="s">
        <v>41</v>
      </c>
      <c r="B32" s="2" t="s">
        <v>541</v>
      </c>
      <c r="C32" s="2" t="s">
        <v>1347</v>
      </c>
      <c r="D32" s="38" t="s">
        <v>784</v>
      </c>
      <c r="E32" t="s">
        <v>787</v>
      </c>
      <c r="F32" t="s">
        <v>801</v>
      </c>
      <c r="G32" s="38" t="s">
        <v>832</v>
      </c>
      <c r="H32" s="19">
        <v>567.23</v>
      </c>
      <c r="I32" s="19">
        <v>501.99</v>
      </c>
      <c r="J32">
        <v>10</v>
      </c>
      <c r="K32">
        <v>0.1</v>
      </c>
      <c r="L32" s="19">
        <v>65.239999999999995</v>
      </c>
      <c r="M32" t="s">
        <v>1289</v>
      </c>
    </row>
    <row r="33" spans="1:13" x14ac:dyDescent="0.3">
      <c r="A33" t="s">
        <v>42</v>
      </c>
      <c r="B33" s="2" t="s">
        <v>542</v>
      </c>
      <c r="C33" s="2" t="s">
        <v>1349</v>
      </c>
      <c r="D33" s="38" t="s">
        <v>784</v>
      </c>
      <c r="E33" t="s">
        <v>787</v>
      </c>
      <c r="F33" t="s">
        <v>790</v>
      </c>
      <c r="G33" s="38" t="s">
        <v>833</v>
      </c>
      <c r="H33" s="19">
        <v>611.9</v>
      </c>
      <c r="I33" s="19">
        <v>475.26</v>
      </c>
      <c r="J33">
        <v>10</v>
      </c>
      <c r="K33">
        <v>0.05</v>
      </c>
      <c r="L33" s="19">
        <v>136.63999999999999</v>
      </c>
      <c r="M33" t="s">
        <v>1291</v>
      </c>
    </row>
    <row r="34" spans="1:13" x14ac:dyDescent="0.3">
      <c r="A34" t="s">
        <v>43</v>
      </c>
      <c r="B34" s="2" t="s">
        <v>543</v>
      </c>
      <c r="C34" s="2" t="s">
        <v>1343</v>
      </c>
      <c r="D34" s="38" t="s">
        <v>785</v>
      </c>
      <c r="E34" t="s">
        <v>788</v>
      </c>
      <c r="F34" t="s">
        <v>796</v>
      </c>
      <c r="G34" s="38" t="s">
        <v>834</v>
      </c>
      <c r="H34" s="19">
        <v>1839.96</v>
      </c>
      <c r="I34" s="19">
        <v>1963.38</v>
      </c>
      <c r="J34">
        <v>3</v>
      </c>
      <c r="K34">
        <v>0.2</v>
      </c>
      <c r="L34" s="19">
        <v>-123.42</v>
      </c>
      <c r="M34" t="s">
        <v>1289</v>
      </c>
    </row>
    <row r="35" spans="1:13" x14ac:dyDescent="0.3">
      <c r="A35" t="s">
        <v>44</v>
      </c>
      <c r="B35" s="2" t="s">
        <v>544</v>
      </c>
      <c r="C35" s="2" t="s">
        <v>1352</v>
      </c>
      <c r="D35" s="38" t="s">
        <v>783</v>
      </c>
      <c r="E35" t="s">
        <v>789</v>
      </c>
      <c r="F35" t="s">
        <v>794</v>
      </c>
      <c r="G35" s="38" t="s">
        <v>835</v>
      </c>
      <c r="H35" s="19">
        <v>1795.83</v>
      </c>
      <c r="I35" s="19">
        <v>1970.61</v>
      </c>
      <c r="J35">
        <v>3</v>
      </c>
      <c r="K35">
        <v>0.15</v>
      </c>
      <c r="L35" s="19">
        <v>-174.78</v>
      </c>
      <c r="M35" t="s">
        <v>1290</v>
      </c>
    </row>
    <row r="36" spans="1:13" x14ac:dyDescent="0.3">
      <c r="A36" t="s">
        <v>45</v>
      </c>
      <c r="B36" s="2" t="s">
        <v>545</v>
      </c>
      <c r="C36" s="2" t="s">
        <v>1350</v>
      </c>
      <c r="D36" s="38" t="s">
        <v>784</v>
      </c>
      <c r="E36" t="s">
        <v>787</v>
      </c>
      <c r="F36" t="s">
        <v>792</v>
      </c>
      <c r="G36" s="38" t="s">
        <v>836</v>
      </c>
      <c r="H36" s="19">
        <v>1893.59</v>
      </c>
      <c r="I36" s="19">
        <v>2054.06</v>
      </c>
      <c r="J36">
        <v>8</v>
      </c>
      <c r="K36">
        <v>0.15</v>
      </c>
      <c r="L36" s="19">
        <v>-160.47</v>
      </c>
      <c r="M36" t="s">
        <v>1289</v>
      </c>
    </row>
    <row r="37" spans="1:13" x14ac:dyDescent="0.3">
      <c r="A37" t="s">
        <v>46</v>
      </c>
      <c r="B37" s="2" t="s">
        <v>546</v>
      </c>
      <c r="C37" s="2" t="s">
        <v>1344</v>
      </c>
      <c r="D37" s="38" t="s">
        <v>785</v>
      </c>
      <c r="E37" t="s">
        <v>787</v>
      </c>
      <c r="F37" t="s">
        <v>800</v>
      </c>
      <c r="G37" s="38" t="s">
        <v>837</v>
      </c>
      <c r="H37" s="19">
        <v>847.33</v>
      </c>
      <c r="I37" s="19">
        <v>874.22</v>
      </c>
      <c r="J37">
        <v>3</v>
      </c>
      <c r="K37">
        <v>0.1</v>
      </c>
      <c r="L37" s="19">
        <v>-26.89</v>
      </c>
      <c r="M37" t="s">
        <v>1290</v>
      </c>
    </row>
    <row r="38" spans="1:13" x14ac:dyDescent="0.3">
      <c r="A38" t="s">
        <v>47</v>
      </c>
      <c r="B38" s="2" t="s">
        <v>547</v>
      </c>
      <c r="C38" s="2" t="s">
        <v>1349</v>
      </c>
      <c r="D38" s="38" t="s">
        <v>785</v>
      </c>
      <c r="E38" t="s">
        <v>788</v>
      </c>
      <c r="F38" t="s">
        <v>796</v>
      </c>
      <c r="G38" s="38" t="s">
        <v>838</v>
      </c>
      <c r="H38" s="19">
        <v>1777.11</v>
      </c>
      <c r="I38" s="19">
        <v>1778.4699999999998</v>
      </c>
      <c r="J38">
        <v>9</v>
      </c>
      <c r="K38">
        <v>0.15</v>
      </c>
      <c r="L38" s="19">
        <v>-1.36</v>
      </c>
      <c r="M38" t="s">
        <v>1290</v>
      </c>
    </row>
    <row r="39" spans="1:13" x14ac:dyDescent="0.3">
      <c r="A39" t="s">
        <v>48</v>
      </c>
      <c r="B39" s="2" t="s">
        <v>548</v>
      </c>
      <c r="C39" s="2" t="s">
        <v>1350</v>
      </c>
      <c r="D39" s="38" t="s">
        <v>784</v>
      </c>
      <c r="E39" t="s">
        <v>789</v>
      </c>
      <c r="F39" t="s">
        <v>798</v>
      </c>
      <c r="G39" s="38" t="s">
        <v>839</v>
      </c>
      <c r="H39" s="19">
        <v>1436.59</v>
      </c>
      <c r="I39" s="19">
        <v>1120.54</v>
      </c>
      <c r="J39">
        <v>3</v>
      </c>
      <c r="K39">
        <v>0</v>
      </c>
      <c r="L39" s="19">
        <v>316.05</v>
      </c>
      <c r="M39" t="s">
        <v>1290</v>
      </c>
    </row>
    <row r="40" spans="1:13" x14ac:dyDescent="0.3">
      <c r="A40" t="s">
        <v>49</v>
      </c>
      <c r="B40" s="2" t="s">
        <v>549</v>
      </c>
      <c r="C40" s="2" t="s">
        <v>1348</v>
      </c>
      <c r="D40" s="38" t="s">
        <v>785</v>
      </c>
      <c r="E40" t="s">
        <v>787</v>
      </c>
      <c r="F40" t="s">
        <v>790</v>
      </c>
      <c r="G40" s="38" t="s">
        <v>840</v>
      </c>
      <c r="H40" s="19">
        <v>819.42</v>
      </c>
      <c r="I40" s="19">
        <v>700.59999999999991</v>
      </c>
      <c r="J40">
        <v>8</v>
      </c>
      <c r="K40">
        <v>0.15</v>
      </c>
      <c r="L40" s="19">
        <v>118.82</v>
      </c>
      <c r="M40" t="s">
        <v>1291</v>
      </c>
    </row>
    <row r="41" spans="1:13" x14ac:dyDescent="0.3">
      <c r="A41" t="s">
        <v>50</v>
      </c>
      <c r="B41" s="2" t="s">
        <v>550</v>
      </c>
      <c r="C41" s="2" t="s">
        <v>1345</v>
      </c>
      <c r="D41" s="38" t="s">
        <v>786</v>
      </c>
      <c r="E41" t="s">
        <v>788</v>
      </c>
      <c r="F41" t="s">
        <v>796</v>
      </c>
      <c r="G41" s="38" t="s">
        <v>841</v>
      </c>
      <c r="H41" s="19">
        <v>1411.03</v>
      </c>
      <c r="I41" s="19">
        <v>1611.4099999999999</v>
      </c>
      <c r="J41">
        <v>1</v>
      </c>
      <c r="K41">
        <v>0.2</v>
      </c>
      <c r="L41" s="19">
        <v>-200.38</v>
      </c>
      <c r="M41" t="s">
        <v>1291</v>
      </c>
    </row>
    <row r="42" spans="1:13" x14ac:dyDescent="0.3">
      <c r="A42" t="s">
        <v>51</v>
      </c>
      <c r="B42" s="2" t="s">
        <v>551</v>
      </c>
      <c r="C42" s="2" t="s">
        <v>1344</v>
      </c>
      <c r="D42" s="38" t="s">
        <v>784</v>
      </c>
      <c r="E42" t="s">
        <v>788</v>
      </c>
      <c r="F42" t="s">
        <v>791</v>
      </c>
      <c r="G42" s="38" t="s">
        <v>842</v>
      </c>
      <c r="H42" s="19">
        <v>1212.1500000000001</v>
      </c>
      <c r="I42" s="19">
        <v>1168.43</v>
      </c>
      <c r="J42">
        <v>5</v>
      </c>
      <c r="K42">
        <v>0.1</v>
      </c>
      <c r="L42" s="19">
        <v>43.72</v>
      </c>
      <c r="M42" t="s">
        <v>1291</v>
      </c>
    </row>
    <row r="43" spans="1:13" x14ac:dyDescent="0.3">
      <c r="A43" t="s">
        <v>52</v>
      </c>
      <c r="B43" s="2" t="s">
        <v>552</v>
      </c>
      <c r="C43" s="2" t="s">
        <v>1349</v>
      </c>
      <c r="D43" s="38" t="s">
        <v>784</v>
      </c>
      <c r="E43" t="s">
        <v>788</v>
      </c>
      <c r="F43" t="s">
        <v>796</v>
      </c>
      <c r="G43" s="38" t="s">
        <v>843</v>
      </c>
      <c r="H43" s="19">
        <v>1395.22</v>
      </c>
      <c r="I43" s="19">
        <v>1050.75</v>
      </c>
      <c r="J43">
        <v>3</v>
      </c>
      <c r="K43">
        <v>0.05</v>
      </c>
      <c r="L43" s="19">
        <v>344.47</v>
      </c>
      <c r="M43" t="s">
        <v>1291</v>
      </c>
    </row>
    <row r="44" spans="1:13" x14ac:dyDescent="0.3">
      <c r="A44" t="s">
        <v>53</v>
      </c>
      <c r="B44" s="2" t="s">
        <v>553</v>
      </c>
      <c r="C44" s="2" t="s">
        <v>1345</v>
      </c>
      <c r="D44" s="38" t="s">
        <v>785</v>
      </c>
      <c r="E44" t="s">
        <v>789</v>
      </c>
      <c r="F44" t="s">
        <v>797</v>
      </c>
      <c r="G44" s="38" t="s">
        <v>844</v>
      </c>
      <c r="H44" s="19">
        <v>1012.86</v>
      </c>
      <c r="I44" s="19">
        <v>874.49</v>
      </c>
      <c r="J44">
        <v>2</v>
      </c>
      <c r="K44">
        <v>0.1</v>
      </c>
      <c r="L44" s="19">
        <v>138.37</v>
      </c>
      <c r="M44" t="s">
        <v>1290</v>
      </c>
    </row>
    <row r="45" spans="1:13" x14ac:dyDescent="0.3">
      <c r="A45" t="s">
        <v>54</v>
      </c>
      <c r="B45" s="2" t="s">
        <v>529</v>
      </c>
      <c r="C45" s="2" t="s">
        <v>1348</v>
      </c>
      <c r="D45" s="38" t="s">
        <v>784</v>
      </c>
      <c r="E45" t="s">
        <v>788</v>
      </c>
      <c r="F45" t="s">
        <v>791</v>
      </c>
      <c r="G45" s="38" t="s">
        <v>845</v>
      </c>
      <c r="H45" s="19">
        <v>1861.21</v>
      </c>
      <c r="I45" s="19">
        <v>1728.48</v>
      </c>
      <c r="J45">
        <v>3</v>
      </c>
      <c r="K45">
        <v>0.2</v>
      </c>
      <c r="L45" s="19">
        <v>132.72999999999999</v>
      </c>
      <c r="M45" t="s">
        <v>1291</v>
      </c>
    </row>
    <row r="46" spans="1:13" x14ac:dyDescent="0.3">
      <c r="A46" t="s">
        <v>55</v>
      </c>
      <c r="B46" s="2" t="s">
        <v>554</v>
      </c>
      <c r="C46" s="2" t="s">
        <v>1350</v>
      </c>
      <c r="D46" s="38" t="s">
        <v>786</v>
      </c>
      <c r="E46" t="s">
        <v>789</v>
      </c>
      <c r="F46" t="s">
        <v>794</v>
      </c>
      <c r="G46" s="38" t="s">
        <v>846</v>
      </c>
      <c r="H46" s="19">
        <v>1221.42</v>
      </c>
      <c r="I46" s="19">
        <v>1272.6400000000001</v>
      </c>
      <c r="J46">
        <v>8</v>
      </c>
      <c r="K46">
        <v>0.15</v>
      </c>
      <c r="L46" s="19">
        <v>-51.22</v>
      </c>
      <c r="M46" t="s">
        <v>1291</v>
      </c>
    </row>
    <row r="47" spans="1:13" x14ac:dyDescent="0.3">
      <c r="A47" t="s">
        <v>56</v>
      </c>
      <c r="B47" s="2" t="s">
        <v>555</v>
      </c>
      <c r="C47" s="2" t="s">
        <v>1348</v>
      </c>
      <c r="D47" s="38" t="s">
        <v>785</v>
      </c>
      <c r="E47" t="s">
        <v>787</v>
      </c>
      <c r="F47" t="s">
        <v>801</v>
      </c>
      <c r="G47" s="38" t="s">
        <v>847</v>
      </c>
      <c r="H47" s="19">
        <v>774.07</v>
      </c>
      <c r="I47" s="19">
        <v>771.88</v>
      </c>
      <c r="J47">
        <v>3</v>
      </c>
      <c r="K47">
        <v>0.15</v>
      </c>
      <c r="L47" s="19">
        <v>2.19</v>
      </c>
      <c r="M47" t="s">
        <v>1290</v>
      </c>
    </row>
    <row r="48" spans="1:13" x14ac:dyDescent="0.3">
      <c r="A48" t="s">
        <v>57</v>
      </c>
      <c r="B48" s="2" t="s">
        <v>556</v>
      </c>
      <c r="C48" s="2" t="s">
        <v>1353</v>
      </c>
      <c r="D48" s="38" t="s">
        <v>785</v>
      </c>
      <c r="E48" t="s">
        <v>789</v>
      </c>
      <c r="F48" t="s">
        <v>794</v>
      </c>
      <c r="G48" s="38" t="s">
        <v>848</v>
      </c>
      <c r="H48" s="19">
        <v>1490.62</v>
      </c>
      <c r="I48" s="19">
        <v>1592.51</v>
      </c>
      <c r="J48">
        <v>9</v>
      </c>
      <c r="K48">
        <v>0.2</v>
      </c>
      <c r="L48" s="19">
        <v>-101.89</v>
      </c>
      <c r="M48" t="s">
        <v>1290</v>
      </c>
    </row>
    <row r="49" spans="1:13" x14ac:dyDescent="0.3">
      <c r="A49" t="s">
        <v>58</v>
      </c>
      <c r="B49" s="2" t="s">
        <v>557</v>
      </c>
      <c r="C49" s="2" t="s">
        <v>1352</v>
      </c>
      <c r="D49" s="38" t="s">
        <v>786</v>
      </c>
      <c r="E49" t="s">
        <v>787</v>
      </c>
      <c r="F49" t="s">
        <v>790</v>
      </c>
      <c r="G49" s="38" t="s">
        <v>849</v>
      </c>
      <c r="H49" s="19">
        <v>188.89</v>
      </c>
      <c r="I49" s="19">
        <v>185.38</v>
      </c>
      <c r="J49">
        <v>5</v>
      </c>
      <c r="K49">
        <v>0.05</v>
      </c>
      <c r="L49" s="19">
        <v>3.51</v>
      </c>
      <c r="M49" t="s">
        <v>1290</v>
      </c>
    </row>
    <row r="50" spans="1:13" x14ac:dyDescent="0.3">
      <c r="A50" t="s">
        <v>59</v>
      </c>
      <c r="B50" s="2" t="s">
        <v>558</v>
      </c>
      <c r="C50" s="2" t="s">
        <v>1343</v>
      </c>
      <c r="D50" s="38" t="s">
        <v>783</v>
      </c>
      <c r="E50" t="s">
        <v>789</v>
      </c>
      <c r="F50" t="s">
        <v>798</v>
      </c>
      <c r="G50" s="38" t="s">
        <v>850</v>
      </c>
      <c r="H50" s="19">
        <v>1577.39</v>
      </c>
      <c r="I50" s="19">
        <v>1246.93</v>
      </c>
      <c r="J50">
        <v>8</v>
      </c>
      <c r="K50">
        <v>0</v>
      </c>
      <c r="L50" s="19">
        <v>330.46</v>
      </c>
      <c r="M50" t="s">
        <v>1290</v>
      </c>
    </row>
    <row r="51" spans="1:13" x14ac:dyDescent="0.3">
      <c r="A51" t="s">
        <v>60</v>
      </c>
      <c r="B51" s="2" t="s">
        <v>559</v>
      </c>
      <c r="C51" s="2" t="s">
        <v>1351</v>
      </c>
      <c r="D51" s="38" t="s">
        <v>783</v>
      </c>
      <c r="E51" t="s">
        <v>788</v>
      </c>
      <c r="F51" t="s">
        <v>795</v>
      </c>
      <c r="G51" s="38" t="s">
        <v>851</v>
      </c>
      <c r="H51" s="19">
        <v>1303.2</v>
      </c>
      <c r="I51" s="19">
        <v>952.90000000000009</v>
      </c>
      <c r="J51">
        <v>2</v>
      </c>
      <c r="K51">
        <v>0</v>
      </c>
      <c r="L51" s="19">
        <v>350.3</v>
      </c>
      <c r="M51" t="s">
        <v>1291</v>
      </c>
    </row>
    <row r="52" spans="1:13" x14ac:dyDescent="0.3">
      <c r="A52" t="s">
        <v>61</v>
      </c>
      <c r="B52" s="2" t="s">
        <v>560</v>
      </c>
      <c r="C52" s="2" t="s">
        <v>1349</v>
      </c>
      <c r="D52" s="38" t="s">
        <v>785</v>
      </c>
      <c r="E52" t="s">
        <v>787</v>
      </c>
      <c r="F52" t="s">
        <v>800</v>
      </c>
      <c r="G52" s="38" t="s">
        <v>852</v>
      </c>
      <c r="H52" s="19">
        <v>1206.1600000000001</v>
      </c>
      <c r="I52" s="19">
        <v>1209.93</v>
      </c>
      <c r="J52">
        <v>4</v>
      </c>
      <c r="K52">
        <v>0.15</v>
      </c>
      <c r="L52" s="19">
        <v>-3.77</v>
      </c>
      <c r="M52" t="s">
        <v>1291</v>
      </c>
    </row>
    <row r="53" spans="1:13" x14ac:dyDescent="0.3">
      <c r="A53" t="s">
        <v>62</v>
      </c>
      <c r="B53" s="2" t="s">
        <v>517</v>
      </c>
      <c r="C53" s="2" t="s">
        <v>1348</v>
      </c>
      <c r="D53" s="38" t="s">
        <v>783</v>
      </c>
      <c r="E53" t="s">
        <v>787</v>
      </c>
      <c r="F53" t="s">
        <v>801</v>
      </c>
      <c r="G53" s="38" t="s">
        <v>853</v>
      </c>
      <c r="H53" s="19">
        <v>1204.53</v>
      </c>
      <c r="I53" s="19">
        <v>1213</v>
      </c>
      <c r="J53">
        <v>3</v>
      </c>
      <c r="K53">
        <v>0.1</v>
      </c>
      <c r="L53" s="19">
        <v>-8.4700000000000006</v>
      </c>
      <c r="M53" t="s">
        <v>1290</v>
      </c>
    </row>
    <row r="54" spans="1:13" x14ac:dyDescent="0.3">
      <c r="A54" t="s">
        <v>63</v>
      </c>
      <c r="B54" s="2" t="s">
        <v>561</v>
      </c>
      <c r="C54" s="2" t="s">
        <v>1353</v>
      </c>
      <c r="D54" s="38" t="s">
        <v>786</v>
      </c>
      <c r="E54" t="s">
        <v>787</v>
      </c>
      <c r="F54" t="s">
        <v>792</v>
      </c>
      <c r="G54" s="38" t="s">
        <v>854</v>
      </c>
      <c r="H54" s="19">
        <v>1995.65</v>
      </c>
      <c r="I54" s="19">
        <v>1913.02</v>
      </c>
      <c r="J54">
        <v>3</v>
      </c>
      <c r="K54">
        <v>0.2</v>
      </c>
      <c r="L54" s="19">
        <v>82.63</v>
      </c>
      <c r="M54" t="s">
        <v>1289</v>
      </c>
    </row>
    <row r="55" spans="1:13" x14ac:dyDescent="0.3">
      <c r="A55" t="s">
        <v>64</v>
      </c>
      <c r="B55" s="2" t="s">
        <v>541</v>
      </c>
      <c r="C55" s="2" t="s">
        <v>1347</v>
      </c>
      <c r="D55" s="38" t="s">
        <v>783</v>
      </c>
      <c r="E55" t="s">
        <v>787</v>
      </c>
      <c r="F55" t="s">
        <v>801</v>
      </c>
      <c r="G55" s="38" t="s">
        <v>855</v>
      </c>
      <c r="H55" s="19">
        <v>388.53</v>
      </c>
      <c r="I55" s="19">
        <v>362.29999999999995</v>
      </c>
      <c r="J55">
        <v>7</v>
      </c>
      <c r="K55">
        <v>0</v>
      </c>
      <c r="L55" s="19">
        <v>26.23</v>
      </c>
      <c r="M55" t="s">
        <v>1291</v>
      </c>
    </row>
    <row r="56" spans="1:13" x14ac:dyDescent="0.3">
      <c r="A56" t="s">
        <v>65</v>
      </c>
      <c r="B56" s="2" t="s">
        <v>562</v>
      </c>
      <c r="C56" s="2" t="s">
        <v>1351</v>
      </c>
      <c r="D56" s="38" t="s">
        <v>786</v>
      </c>
      <c r="E56" t="s">
        <v>788</v>
      </c>
      <c r="F56" t="s">
        <v>796</v>
      </c>
      <c r="G56" s="38" t="s">
        <v>856</v>
      </c>
      <c r="H56" s="19">
        <v>63</v>
      </c>
      <c r="I56" s="19">
        <v>70.05</v>
      </c>
      <c r="J56">
        <v>3</v>
      </c>
      <c r="K56">
        <v>0.2</v>
      </c>
      <c r="L56" s="19">
        <v>-7.05</v>
      </c>
      <c r="M56" t="s">
        <v>1289</v>
      </c>
    </row>
    <row r="57" spans="1:13" x14ac:dyDescent="0.3">
      <c r="A57" t="s">
        <v>66</v>
      </c>
      <c r="B57" s="2" t="s">
        <v>563</v>
      </c>
      <c r="C57" s="2" t="s">
        <v>1345</v>
      </c>
      <c r="D57" s="38" t="s">
        <v>784</v>
      </c>
      <c r="E57" t="s">
        <v>788</v>
      </c>
      <c r="F57" t="s">
        <v>795</v>
      </c>
      <c r="G57" s="38" t="s">
        <v>857</v>
      </c>
      <c r="H57" s="19">
        <v>962.45</v>
      </c>
      <c r="I57" s="19">
        <v>683.17000000000007</v>
      </c>
      <c r="J57">
        <v>8</v>
      </c>
      <c r="K57">
        <v>0</v>
      </c>
      <c r="L57" s="19">
        <v>279.27999999999997</v>
      </c>
      <c r="M57" t="s">
        <v>1291</v>
      </c>
    </row>
    <row r="58" spans="1:13" x14ac:dyDescent="0.3">
      <c r="A58" t="s">
        <v>67</v>
      </c>
      <c r="B58" s="2" t="s">
        <v>564</v>
      </c>
      <c r="C58" s="2" t="s">
        <v>1344</v>
      </c>
      <c r="D58" s="38" t="s">
        <v>785</v>
      </c>
      <c r="E58" t="s">
        <v>787</v>
      </c>
      <c r="F58" t="s">
        <v>800</v>
      </c>
      <c r="G58" s="38" t="s">
        <v>858</v>
      </c>
      <c r="H58" s="19">
        <v>371.3</v>
      </c>
      <c r="I58" s="19">
        <v>324.37</v>
      </c>
      <c r="J58">
        <v>8</v>
      </c>
      <c r="K58">
        <v>0</v>
      </c>
      <c r="L58" s="19">
        <v>46.93</v>
      </c>
      <c r="M58" t="s">
        <v>1291</v>
      </c>
    </row>
    <row r="59" spans="1:13" x14ac:dyDescent="0.3">
      <c r="A59" t="s">
        <v>68</v>
      </c>
      <c r="B59" s="2" t="s">
        <v>565</v>
      </c>
      <c r="C59" s="2" t="s">
        <v>1352</v>
      </c>
      <c r="D59" s="38" t="s">
        <v>785</v>
      </c>
      <c r="E59" t="s">
        <v>787</v>
      </c>
      <c r="F59" t="s">
        <v>801</v>
      </c>
      <c r="G59" s="38" t="s">
        <v>859</v>
      </c>
      <c r="H59" s="19">
        <v>1529.21</v>
      </c>
      <c r="I59" s="19">
        <v>1730.38</v>
      </c>
      <c r="J59">
        <v>4</v>
      </c>
      <c r="K59">
        <v>0.2</v>
      </c>
      <c r="L59" s="19">
        <v>-201.17</v>
      </c>
      <c r="M59" t="s">
        <v>1290</v>
      </c>
    </row>
    <row r="60" spans="1:13" x14ac:dyDescent="0.3">
      <c r="A60" t="s">
        <v>69</v>
      </c>
      <c r="B60" s="2" t="s">
        <v>566</v>
      </c>
      <c r="C60" s="2" t="s">
        <v>1354</v>
      </c>
      <c r="D60" s="38" t="s">
        <v>786</v>
      </c>
      <c r="E60" t="s">
        <v>788</v>
      </c>
      <c r="F60" t="s">
        <v>796</v>
      </c>
      <c r="G60" s="38" t="s">
        <v>860</v>
      </c>
      <c r="H60" s="19">
        <v>723.81</v>
      </c>
      <c r="I60" s="19">
        <v>583.45999999999992</v>
      </c>
      <c r="J60">
        <v>4</v>
      </c>
      <c r="K60">
        <v>0</v>
      </c>
      <c r="L60" s="19">
        <v>140.35</v>
      </c>
      <c r="M60" t="s">
        <v>1291</v>
      </c>
    </row>
    <row r="61" spans="1:13" x14ac:dyDescent="0.3">
      <c r="A61" t="s">
        <v>70</v>
      </c>
      <c r="B61" s="2" t="s">
        <v>567</v>
      </c>
      <c r="C61" s="2" t="s">
        <v>1344</v>
      </c>
      <c r="D61" s="38" t="s">
        <v>784</v>
      </c>
      <c r="E61" t="s">
        <v>789</v>
      </c>
      <c r="F61" t="s">
        <v>797</v>
      </c>
      <c r="G61" s="38" t="s">
        <v>861</v>
      </c>
      <c r="H61" s="19">
        <v>1077.53</v>
      </c>
      <c r="I61" s="19">
        <v>848.73</v>
      </c>
      <c r="J61">
        <v>7</v>
      </c>
      <c r="K61">
        <v>0.05</v>
      </c>
      <c r="L61" s="19">
        <v>228.8</v>
      </c>
      <c r="M61" t="s">
        <v>1291</v>
      </c>
    </row>
    <row r="62" spans="1:13" x14ac:dyDescent="0.3">
      <c r="A62" t="s">
        <v>71</v>
      </c>
      <c r="B62" s="2" t="s">
        <v>568</v>
      </c>
      <c r="C62" s="2" t="s">
        <v>1350</v>
      </c>
      <c r="D62" s="38" t="s">
        <v>784</v>
      </c>
      <c r="E62" t="s">
        <v>787</v>
      </c>
      <c r="F62" t="s">
        <v>790</v>
      </c>
      <c r="G62" s="38" t="s">
        <v>862</v>
      </c>
      <c r="H62" s="19">
        <v>1810.9</v>
      </c>
      <c r="I62" s="19">
        <v>1720.68</v>
      </c>
      <c r="J62">
        <v>9</v>
      </c>
      <c r="K62">
        <v>0.1</v>
      </c>
      <c r="L62" s="19">
        <v>90.22</v>
      </c>
      <c r="M62" t="s">
        <v>1290</v>
      </c>
    </row>
    <row r="63" spans="1:13" x14ac:dyDescent="0.3">
      <c r="A63" t="s">
        <v>72</v>
      </c>
      <c r="B63" s="2" t="s">
        <v>569</v>
      </c>
      <c r="C63" s="2" t="s">
        <v>1349</v>
      </c>
      <c r="D63" s="38" t="s">
        <v>784</v>
      </c>
      <c r="E63" t="s">
        <v>789</v>
      </c>
      <c r="F63" t="s">
        <v>797</v>
      </c>
      <c r="G63" s="38" t="s">
        <v>863</v>
      </c>
      <c r="H63" s="19">
        <v>1685.28</v>
      </c>
      <c r="I63" s="19">
        <v>1649.42</v>
      </c>
      <c r="J63">
        <v>5</v>
      </c>
      <c r="K63">
        <v>0.15</v>
      </c>
      <c r="L63" s="19">
        <v>35.86</v>
      </c>
      <c r="M63" t="s">
        <v>1291</v>
      </c>
    </row>
    <row r="64" spans="1:13" x14ac:dyDescent="0.3">
      <c r="A64" t="s">
        <v>73</v>
      </c>
      <c r="B64" s="2" t="s">
        <v>570</v>
      </c>
      <c r="C64" s="2" t="s">
        <v>1346</v>
      </c>
      <c r="D64" s="38" t="s">
        <v>783</v>
      </c>
      <c r="E64" t="s">
        <v>789</v>
      </c>
      <c r="F64" t="s">
        <v>798</v>
      </c>
      <c r="G64" s="38" t="s">
        <v>864</v>
      </c>
      <c r="H64" s="19">
        <v>1816.17</v>
      </c>
      <c r="I64" s="19">
        <v>1476.96</v>
      </c>
      <c r="J64">
        <v>2</v>
      </c>
      <c r="K64">
        <v>0.1</v>
      </c>
      <c r="L64" s="19">
        <v>339.21</v>
      </c>
      <c r="M64" t="s">
        <v>1289</v>
      </c>
    </row>
    <row r="65" spans="1:13" x14ac:dyDescent="0.3">
      <c r="A65" t="s">
        <v>74</v>
      </c>
      <c r="B65" s="2" t="s">
        <v>571</v>
      </c>
      <c r="C65" s="2" t="s">
        <v>1353</v>
      </c>
      <c r="D65" s="38" t="s">
        <v>783</v>
      </c>
      <c r="E65" t="s">
        <v>789</v>
      </c>
      <c r="F65" t="s">
        <v>798</v>
      </c>
      <c r="G65" s="38" t="s">
        <v>865</v>
      </c>
      <c r="H65" s="19">
        <v>1753.49</v>
      </c>
      <c r="I65" s="19">
        <v>1762.59</v>
      </c>
      <c r="J65">
        <v>1</v>
      </c>
      <c r="K65">
        <v>0.15</v>
      </c>
      <c r="L65" s="19">
        <v>-9.1</v>
      </c>
      <c r="M65" t="s">
        <v>1290</v>
      </c>
    </row>
    <row r="66" spans="1:13" x14ac:dyDescent="0.3">
      <c r="A66" t="s">
        <v>75</v>
      </c>
      <c r="B66" s="2" t="s">
        <v>572</v>
      </c>
      <c r="C66" s="2" t="s">
        <v>1345</v>
      </c>
      <c r="D66" s="38" t="s">
        <v>783</v>
      </c>
      <c r="E66" t="s">
        <v>788</v>
      </c>
      <c r="F66" t="s">
        <v>796</v>
      </c>
      <c r="G66" s="38" t="s">
        <v>866</v>
      </c>
      <c r="H66" s="19">
        <v>727.24</v>
      </c>
      <c r="I66" s="19">
        <v>604.16</v>
      </c>
      <c r="J66">
        <v>9</v>
      </c>
      <c r="K66">
        <v>0</v>
      </c>
      <c r="L66" s="19">
        <v>123.08</v>
      </c>
      <c r="M66" t="s">
        <v>1290</v>
      </c>
    </row>
    <row r="67" spans="1:13" x14ac:dyDescent="0.3">
      <c r="A67" t="s">
        <v>76</v>
      </c>
      <c r="B67" s="2" t="s">
        <v>573</v>
      </c>
      <c r="C67" s="2" t="s">
        <v>1353</v>
      </c>
      <c r="D67" s="38" t="s">
        <v>783</v>
      </c>
      <c r="E67" t="s">
        <v>788</v>
      </c>
      <c r="F67" t="s">
        <v>796</v>
      </c>
      <c r="G67" s="38" t="s">
        <v>867</v>
      </c>
      <c r="H67" s="19">
        <v>1623.98</v>
      </c>
      <c r="I67" s="19">
        <v>1560.89</v>
      </c>
      <c r="J67">
        <v>10</v>
      </c>
      <c r="K67">
        <v>0.1</v>
      </c>
      <c r="L67" s="19">
        <v>63.09</v>
      </c>
      <c r="M67" t="s">
        <v>1291</v>
      </c>
    </row>
    <row r="68" spans="1:13" x14ac:dyDescent="0.3">
      <c r="A68" t="s">
        <v>77</v>
      </c>
      <c r="B68" s="2" t="s">
        <v>574</v>
      </c>
      <c r="C68" s="2" t="s">
        <v>1350</v>
      </c>
      <c r="D68" s="38" t="s">
        <v>786</v>
      </c>
      <c r="E68" t="s">
        <v>787</v>
      </c>
      <c r="F68" t="s">
        <v>801</v>
      </c>
      <c r="G68" s="38" t="s">
        <v>868</v>
      </c>
      <c r="H68" s="19">
        <v>1266.4000000000001</v>
      </c>
      <c r="I68" s="19">
        <v>1233.8300000000002</v>
      </c>
      <c r="J68">
        <v>5</v>
      </c>
      <c r="K68">
        <v>0.2</v>
      </c>
      <c r="L68" s="19">
        <v>32.57</v>
      </c>
      <c r="M68" t="s">
        <v>1289</v>
      </c>
    </row>
    <row r="69" spans="1:13" x14ac:dyDescent="0.3">
      <c r="A69" t="s">
        <v>78</v>
      </c>
      <c r="B69" s="2" t="s">
        <v>575</v>
      </c>
      <c r="C69" s="2" t="s">
        <v>1353</v>
      </c>
      <c r="D69" s="38" t="s">
        <v>786</v>
      </c>
      <c r="E69" t="s">
        <v>789</v>
      </c>
      <c r="F69" t="s">
        <v>799</v>
      </c>
      <c r="G69" s="38" t="s">
        <v>869</v>
      </c>
      <c r="H69" s="19">
        <v>71.569999999999993</v>
      </c>
      <c r="I69" s="19">
        <v>58.919999999999995</v>
      </c>
      <c r="J69">
        <v>5</v>
      </c>
      <c r="K69">
        <v>0.05</v>
      </c>
      <c r="L69" s="19">
        <v>12.65</v>
      </c>
      <c r="M69" t="s">
        <v>1289</v>
      </c>
    </row>
    <row r="70" spans="1:13" x14ac:dyDescent="0.3">
      <c r="A70" t="s">
        <v>79</v>
      </c>
      <c r="B70" s="2" t="s">
        <v>576</v>
      </c>
      <c r="C70" s="2" t="s">
        <v>1354</v>
      </c>
      <c r="D70" s="38" t="s">
        <v>784</v>
      </c>
      <c r="E70" t="s">
        <v>787</v>
      </c>
      <c r="F70" t="s">
        <v>790</v>
      </c>
      <c r="G70" s="38" t="s">
        <v>870</v>
      </c>
      <c r="H70" s="19">
        <v>1857.93</v>
      </c>
      <c r="I70" s="19">
        <v>1529.27</v>
      </c>
      <c r="J70">
        <v>3</v>
      </c>
      <c r="K70">
        <v>0.05</v>
      </c>
      <c r="L70" s="19">
        <v>328.66</v>
      </c>
      <c r="M70" t="s">
        <v>1291</v>
      </c>
    </row>
    <row r="71" spans="1:13" x14ac:dyDescent="0.3">
      <c r="A71" t="s">
        <v>80</v>
      </c>
      <c r="B71" s="2" t="s">
        <v>577</v>
      </c>
      <c r="C71" s="2" t="s">
        <v>1345</v>
      </c>
      <c r="D71" s="38" t="s">
        <v>784</v>
      </c>
      <c r="E71" t="s">
        <v>789</v>
      </c>
      <c r="F71" t="s">
        <v>799</v>
      </c>
      <c r="G71" s="38" t="s">
        <v>871</v>
      </c>
      <c r="H71" s="19">
        <v>162.04</v>
      </c>
      <c r="I71" s="19">
        <v>130.39999999999998</v>
      </c>
      <c r="J71">
        <v>10</v>
      </c>
      <c r="K71">
        <v>0</v>
      </c>
      <c r="L71" s="19">
        <v>31.64</v>
      </c>
      <c r="M71" t="s">
        <v>1289</v>
      </c>
    </row>
    <row r="72" spans="1:13" x14ac:dyDescent="0.3">
      <c r="A72" t="s">
        <v>81</v>
      </c>
      <c r="B72" s="2" t="s">
        <v>578</v>
      </c>
      <c r="C72" s="2" t="s">
        <v>1350</v>
      </c>
      <c r="D72" s="38" t="s">
        <v>785</v>
      </c>
      <c r="E72" t="s">
        <v>789</v>
      </c>
      <c r="F72" t="s">
        <v>794</v>
      </c>
      <c r="G72" s="38" t="s">
        <v>872</v>
      </c>
      <c r="H72" s="19">
        <v>1685.85</v>
      </c>
      <c r="I72" s="19">
        <v>1465.1899999999998</v>
      </c>
      <c r="J72">
        <v>5</v>
      </c>
      <c r="K72">
        <v>0.1</v>
      </c>
      <c r="L72" s="19">
        <v>220.66</v>
      </c>
      <c r="M72" t="s">
        <v>1289</v>
      </c>
    </row>
    <row r="73" spans="1:13" x14ac:dyDescent="0.3">
      <c r="A73" t="s">
        <v>82</v>
      </c>
      <c r="B73" s="2" t="s">
        <v>579</v>
      </c>
      <c r="C73" s="2" t="s">
        <v>1344</v>
      </c>
      <c r="D73" s="38" t="s">
        <v>786</v>
      </c>
      <c r="E73" t="s">
        <v>788</v>
      </c>
      <c r="F73" t="s">
        <v>796</v>
      </c>
      <c r="G73" s="38" t="s">
        <v>873</v>
      </c>
      <c r="H73" s="19">
        <v>333.13</v>
      </c>
      <c r="I73" s="19">
        <v>295.38</v>
      </c>
      <c r="J73">
        <v>2</v>
      </c>
      <c r="K73">
        <v>0</v>
      </c>
      <c r="L73" s="19">
        <v>37.75</v>
      </c>
      <c r="M73" t="s">
        <v>1291</v>
      </c>
    </row>
    <row r="74" spans="1:13" x14ac:dyDescent="0.3">
      <c r="A74" t="s">
        <v>83</v>
      </c>
      <c r="B74" s="2" t="s">
        <v>580</v>
      </c>
      <c r="C74" s="2" t="s">
        <v>1352</v>
      </c>
      <c r="D74" s="38" t="s">
        <v>784</v>
      </c>
      <c r="E74" t="s">
        <v>789</v>
      </c>
      <c r="F74" t="s">
        <v>799</v>
      </c>
      <c r="G74" s="38" t="s">
        <v>874</v>
      </c>
      <c r="H74" s="19">
        <v>1585.03</v>
      </c>
      <c r="I74" s="19">
        <v>1226.8699999999999</v>
      </c>
      <c r="J74">
        <v>2</v>
      </c>
      <c r="K74">
        <v>0.05</v>
      </c>
      <c r="L74" s="19">
        <v>358.16</v>
      </c>
      <c r="M74" t="s">
        <v>1291</v>
      </c>
    </row>
    <row r="75" spans="1:13" x14ac:dyDescent="0.3">
      <c r="A75" t="s">
        <v>84</v>
      </c>
      <c r="B75" s="2" t="s">
        <v>581</v>
      </c>
      <c r="C75" s="2" t="s">
        <v>1351</v>
      </c>
      <c r="D75" s="38" t="s">
        <v>785</v>
      </c>
      <c r="E75" t="s">
        <v>788</v>
      </c>
      <c r="F75" t="s">
        <v>791</v>
      </c>
      <c r="G75" s="38" t="s">
        <v>875</v>
      </c>
      <c r="H75" s="19">
        <v>1491.57</v>
      </c>
      <c r="I75" s="19">
        <v>1316.6799999999998</v>
      </c>
      <c r="J75">
        <v>3</v>
      </c>
      <c r="K75">
        <v>0.1</v>
      </c>
      <c r="L75" s="19">
        <v>174.89</v>
      </c>
      <c r="M75" t="s">
        <v>1290</v>
      </c>
    </row>
    <row r="76" spans="1:13" x14ac:dyDescent="0.3">
      <c r="A76" t="s">
        <v>85</v>
      </c>
      <c r="B76" s="2" t="s">
        <v>582</v>
      </c>
      <c r="C76" s="2" t="s">
        <v>1354</v>
      </c>
      <c r="D76" s="38" t="s">
        <v>785</v>
      </c>
      <c r="E76" t="s">
        <v>789</v>
      </c>
      <c r="F76" t="s">
        <v>798</v>
      </c>
      <c r="G76" s="38" t="s">
        <v>876</v>
      </c>
      <c r="H76" s="19">
        <v>830.3</v>
      </c>
      <c r="I76" s="19">
        <v>869.2299999999999</v>
      </c>
      <c r="J76">
        <v>5</v>
      </c>
      <c r="K76">
        <v>0.1</v>
      </c>
      <c r="L76" s="19">
        <v>-38.93</v>
      </c>
      <c r="M76" t="s">
        <v>1290</v>
      </c>
    </row>
    <row r="77" spans="1:13" x14ac:dyDescent="0.3">
      <c r="A77" t="s">
        <v>86</v>
      </c>
      <c r="B77" s="2" t="s">
        <v>583</v>
      </c>
      <c r="C77" s="2" t="s">
        <v>1343</v>
      </c>
      <c r="D77" s="38" t="s">
        <v>783</v>
      </c>
      <c r="E77" t="s">
        <v>789</v>
      </c>
      <c r="F77" t="s">
        <v>798</v>
      </c>
      <c r="G77" s="38" t="s">
        <v>877</v>
      </c>
      <c r="H77" s="19">
        <v>683.45</v>
      </c>
      <c r="I77" s="19">
        <v>533.03000000000009</v>
      </c>
      <c r="J77">
        <v>5</v>
      </c>
      <c r="K77">
        <v>0</v>
      </c>
      <c r="L77" s="19">
        <v>150.41999999999999</v>
      </c>
      <c r="M77" t="s">
        <v>1290</v>
      </c>
    </row>
    <row r="78" spans="1:13" x14ac:dyDescent="0.3">
      <c r="A78" t="s">
        <v>87</v>
      </c>
      <c r="B78" s="2" t="s">
        <v>584</v>
      </c>
      <c r="C78" s="2" t="s">
        <v>1346</v>
      </c>
      <c r="D78" s="38" t="s">
        <v>783</v>
      </c>
      <c r="E78" t="s">
        <v>787</v>
      </c>
      <c r="F78" t="s">
        <v>801</v>
      </c>
      <c r="G78" s="38" t="s">
        <v>878</v>
      </c>
      <c r="H78" s="19">
        <v>1580.16</v>
      </c>
      <c r="I78" s="19">
        <v>1508.54</v>
      </c>
      <c r="J78">
        <v>3</v>
      </c>
      <c r="K78">
        <v>0.1</v>
      </c>
      <c r="L78" s="19">
        <v>71.62</v>
      </c>
      <c r="M78" t="s">
        <v>1290</v>
      </c>
    </row>
    <row r="79" spans="1:13" x14ac:dyDescent="0.3">
      <c r="A79" t="s">
        <v>88</v>
      </c>
      <c r="B79" s="2" t="s">
        <v>548</v>
      </c>
      <c r="C79" s="2" t="s">
        <v>1350</v>
      </c>
      <c r="D79" s="38" t="s">
        <v>784</v>
      </c>
      <c r="E79" t="s">
        <v>789</v>
      </c>
      <c r="F79" t="s">
        <v>794</v>
      </c>
      <c r="G79" s="38" t="s">
        <v>879</v>
      </c>
      <c r="H79" s="19">
        <v>437.48</v>
      </c>
      <c r="I79" s="19">
        <v>452.57</v>
      </c>
      <c r="J79">
        <v>8</v>
      </c>
      <c r="K79">
        <v>0.15</v>
      </c>
      <c r="L79" s="19">
        <v>-15.09</v>
      </c>
      <c r="M79" t="s">
        <v>1289</v>
      </c>
    </row>
    <row r="80" spans="1:13" x14ac:dyDescent="0.3">
      <c r="A80" t="s">
        <v>89</v>
      </c>
      <c r="B80" s="2" t="s">
        <v>547</v>
      </c>
      <c r="C80" s="2" t="s">
        <v>1349</v>
      </c>
      <c r="D80" s="38" t="s">
        <v>784</v>
      </c>
      <c r="E80" t="s">
        <v>788</v>
      </c>
      <c r="F80" t="s">
        <v>793</v>
      </c>
      <c r="G80" s="38" t="s">
        <v>880</v>
      </c>
      <c r="H80" s="19">
        <v>542.17999999999995</v>
      </c>
      <c r="I80" s="19">
        <v>463.68999999999994</v>
      </c>
      <c r="J80">
        <v>1</v>
      </c>
      <c r="K80">
        <v>0.15</v>
      </c>
      <c r="L80" s="19">
        <v>78.489999999999995</v>
      </c>
      <c r="M80" t="s">
        <v>1290</v>
      </c>
    </row>
    <row r="81" spans="1:13" x14ac:dyDescent="0.3">
      <c r="A81" t="s">
        <v>90</v>
      </c>
      <c r="B81" s="2" t="s">
        <v>585</v>
      </c>
      <c r="C81" s="2" t="s">
        <v>1343</v>
      </c>
      <c r="D81" s="38" t="s">
        <v>785</v>
      </c>
      <c r="E81" t="s">
        <v>789</v>
      </c>
      <c r="F81" t="s">
        <v>794</v>
      </c>
      <c r="G81" s="38" t="s">
        <v>881</v>
      </c>
      <c r="H81" s="19">
        <v>554.46</v>
      </c>
      <c r="I81" s="19">
        <v>635.82000000000005</v>
      </c>
      <c r="J81">
        <v>5</v>
      </c>
      <c r="K81">
        <v>0.2</v>
      </c>
      <c r="L81" s="19">
        <v>-81.36</v>
      </c>
      <c r="M81" t="s">
        <v>1290</v>
      </c>
    </row>
    <row r="82" spans="1:13" x14ac:dyDescent="0.3">
      <c r="A82" t="s">
        <v>91</v>
      </c>
      <c r="B82" s="2" t="s">
        <v>586</v>
      </c>
      <c r="C82" s="2" t="s">
        <v>1352</v>
      </c>
      <c r="D82" s="38" t="s">
        <v>786</v>
      </c>
      <c r="E82" t="s">
        <v>789</v>
      </c>
      <c r="F82" t="s">
        <v>799</v>
      </c>
      <c r="G82" s="38" t="s">
        <v>871</v>
      </c>
      <c r="H82" s="19">
        <v>1766.84</v>
      </c>
      <c r="I82" s="19">
        <v>1347.1399999999999</v>
      </c>
      <c r="J82">
        <v>9</v>
      </c>
      <c r="K82">
        <v>0.05</v>
      </c>
      <c r="L82" s="19">
        <v>419.7</v>
      </c>
      <c r="M82" t="s">
        <v>1290</v>
      </c>
    </row>
    <row r="83" spans="1:13" x14ac:dyDescent="0.3">
      <c r="A83" t="s">
        <v>92</v>
      </c>
      <c r="B83" s="2" t="s">
        <v>587</v>
      </c>
      <c r="C83" s="2" t="s">
        <v>1345</v>
      </c>
      <c r="D83" s="38" t="s">
        <v>786</v>
      </c>
      <c r="E83" t="s">
        <v>789</v>
      </c>
      <c r="F83" t="s">
        <v>798</v>
      </c>
      <c r="G83" s="38" t="s">
        <v>882</v>
      </c>
      <c r="H83" s="19">
        <v>914.25</v>
      </c>
      <c r="I83" s="19">
        <v>800.17</v>
      </c>
      <c r="J83">
        <v>10</v>
      </c>
      <c r="K83">
        <v>0</v>
      </c>
      <c r="L83" s="19">
        <v>114.08</v>
      </c>
      <c r="M83" t="s">
        <v>1290</v>
      </c>
    </row>
    <row r="84" spans="1:13" x14ac:dyDescent="0.3">
      <c r="A84" t="s">
        <v>93</v>
      </c>
      <c r="B84" s="2" t="s">
        <v>588</v>
      </c>
      <c r="C84" s="2" t="s">
        <v>1344</v>
      </c>
      <c r="D84" s="38" t="s">
        <v>785</v>
      </c>
      <c r="E84" t="s">
        <v>788</v>
      </c>
      <c r="F84" t="s">
        <v>793</v>
      </c>
      <c r="G84" s="38" t="s">
        <v>883</v>
      </c>
      <c r="H84" s="19">
        <v>1683.62</v>
      </c>
      <c r="I84" s="19">
        <v>1621.52</v>
      </c>
      <c r="J84">
        <v>4</v>
      </c>
      <c r="K84">
        <v>0.2</v>
      </c>
      <c r="L84" s="19">
        <v>62.1</v>
      </c>
      <c r="M84" t="s">
        <v>1289</v>
      </c>
    </row>
    <row r="85" spans="1:13" x14ac:dyDescent="0.3">
      <c r="A85" t="s">
        <v>94</v>
      </c>
      <c r="B85" s="2" t="s">
        <v>513</v>
      </c>
      <c r="C85" s="2" t="s">
        <v>1347</v>
      </c>
      <c r="D85" s="38" t="s">
        <v>786</v>
      </c>
      <c r="E85" t="s">
        <v>787</v>
      </c>
      <c r="F85" t="s">
        <v>800</v>
      </c>
      <c r="G85" s="38" t="s">
        <v>884</v>
      </c>
      <c r="H85" s="19">
        <v>1763.79</v>
      </c>
      <c r="I85" s="19">
        <v>1847.97</v>
      </c>
      <c r="J85">
        <v>1</v>
      </c>
      <c r="K85">
        <v>0.1</v>
      </c>
      <c r="L85" s="19">
        <v>-84.18</v>
      </c>
      <c r="M85" t="s">
        <v>1289</v>
      </c>
    </row>
    <row r="86" spans="1:13" x14ac:dyDescent="0.3">
      <c r="A86" t="s">
        <v>95</v>
      </c>
      <c r="B86" s="2" t="s">
        <v>589</v>
      </c>
      <c r="C86" s="2" t="s">
        <v>1347</v>
      </c>
      <c r="D86" s="38" t="s">
        <v>784</v>
      </c>
      <c r="E86" t="s">
        <v>787</v>
      </c>
      <c r="F86" t="s">
        <v>800</v>
      </c>
      <c r="G86" s="38" t="s">
        <v>885</v>
      </c>
      <c r="H86" s="19">
        <v>64.81</v>
      </c>
      <c r="I86" s="19">
        <v>61.730000000000004</v>
      </c>
      <c r="J86">
        <v>10</v>
      </c>
      <c r="K86">
        <v>0.15</v>
      </c>
      <c r="L86" s="19">
        <v>3.08</v>
      </c>
      <c r="M86" t="s">
        <v>1291</v>
      </c>
    </row>
    <row r="87" spans="1:13" x14ac:dyDescent="0.3">
      <c r="A87" t="s">
        <v>96</v>
      </c>
      <c r="B87" s="2" t="s">
        <v>541</v>
      </c>
      <c r="C87" s="2" t="s">
        <v>1347</v>
      </c>
      <c r="D87" s="38" t="s">
        <v>786</v>
      </c>
      <c r="E87" t="s">
        <v>787</v>
      </c>
      <c r="F87" t="s">
        <v>801</v>
      </c>
      <c r="G87" s="38" t="s">
        <v>886</v>
      </c>
      <c r="H87" s="19">
        <v>1991.69</v>
      </c>
      <c r="I87" s="19">
        <v>1794.02</v>
      </c>
      <c r="J87">
        <v>3</v>
      </c>
      <c r="K87">
        <v>0.15</v>
      </c>
      <c r="L87" s="19">
        <v>197.67</v>
      </c>
      <c r="M87" t="s">
        <v>1291</v>
      </c>
    </row>
    <row r="88" spans="1:13" x14ac:dyDescent="0.3">
      <c r="A88" t="s">
        <v>97</v>
      </c>
      <c r="B88" s="2" t="s">
        <v>590</v>
      </c>
      <c r="C88" s="2" t="s">
        <v>1343</v>
      </c>
      <c r="D88" s="38" t="s">
        <v>784</v>
      </c>
      <c r="E88" t="s">
        <v>787</v>
      </c>
      <c r="F88" t="s">
        <v>790</v>
      </c>
      <c r="G88" s="38" t="s">
        <v>887</v>
      </c>
      <c r="H88" s="19">
        <v>1367.21</v>
      </c>
      <c r="I88" s="19">
        <v>1280.4100000000001</v>
      </c>
      <c r="J88">
        <v>7</v>
      </c>
      <c r="K88">
        <v>0</v>
      </c>
      <c r="L88" s="19">
        <v>86.8</v>
      </c>
      <c r="M88" t="s">
        <v>1290</v>
      </c>
    </row>
    <row r="89" spans="1:13" x14ac:dyDescent="0.3">
      <c r="A89" t="s">
        <v>98</v>
      </c>
      <c r="B89" s="2" t="s">
        <v>591</v>
      </c>
      <c r="C89" s="2" t="s">
        <v>1345</v>
      </c>
      <c r="D89" s="38" t="s">
        <v>784</v>
      </c>
      <c r="E89" t="s">
        <v>788</v>
      </c>
      <c r="F89" t="s">
        <v>791</v>
      </c>
      <c r="G89" s="38" t="s">
        <v>888</v>
      </c>
      <c r="H89" s="19">
        <v>1755.49</v>
      </c>
      <c r="I89" s="19">
        <v>1727.93</v>
      </c>
      <c r="J89">
        <v>4</v>
      </c>
      <c r="K89">
        <v>0.15</v>
      </c>
      <c r="L89" s="19">
        <v>27.56</v>
      </c>
      <c r="M89" t="s">
        <v>1291</v>
      </c>
    </row>
    <row r="90" spans="1:13" x14ac:dyDescent="0.3">
      <c r="A90" t="s">
        <v>99</v>
      </c>
      <c r="B90" s="2" t="s">
        <v>592</v>
      </c>
      <c r="C90" s="2" t="s">
        <v>1348</v>
      </c>
      <c r="D90" s="38" t="s">
        <v>783</v>
      </c>
      <c r="E90" t="s">
        <v>789</v>
      </c>
      <c r="F90" t="s">
        <v>797</v>
      </c>
      <c r="G90" s="38" t="s">
        <v>889</v>
      </c>
      <c r="H90" s="19">
        <v>1442.35</v>
      </c>
      <c r="I90" s="19">
        <v>1484.48</v>
      </c>
      <c r="J90">
        <v>9</v>
      </c>
      <c r="K90">
        <v>0.15</v>
      </c>
      <c r="L90" s="19">
        <v>-42.13</v>
      </c>
      <c r="M90" t="s">
        <v>1289</v>
      </c>
    </row>
    <row r="91" spans="1:13" x14ac:dyDescent="0.3">
      <c r="A91" t="s">
        <v>100</v>
      </c>
      <c r="B91" s="2" t="s">
        <v>593</v>
      </c>
      <c r="C91" s="2" t="s">
        <v>1348</v>
      </c>
      <c r="D91" s="38" t="s">
        <v>784</v>
      </c>
      <c r="E91" t="s">
        <v>787</v>
      </c>
      <c r="F91" t="s">
        <v>801</v>
      </c>
      <c r="G91" s="38" t="s">
        <v>890</v>
      </c>
      <c r="H91" s="19">
        <v>1423.75</v>
      </c>
      <c r="I91" s="19">
        <v>1329.3</v>
      </c>
      <c r="J91">
        <v>10</v>
      </c>
      <c r="K91">
        <v>0.2</v>
      </c>
      <c r="L91" s="19">
        <v>94.45</v>
      </c>
      <c r="M91" t="s">
        <v>1291</v>
      </c>
    </row>
    <row r="92" spans="1:13" x14ac:dyDescent="0.3">
      <c r="A92" t="s">
        <v>101</v>
      </c>
      <c r="B92" s="2" t="s">
        <v>562</v>
      </c>
      <c r="C92" s="2" t="s">
        <v>1351</v>
      </c>
      <c r="D92" s="38" t="s">
        <v>785</v>
      </c>
      <c r="E92" t="s">
        <v>788</v>
      </c>
      <c r="F92" t="s">
        <v>793</v>
      </c>
      <c r="G92" s="38" t="s">
        <v>891</v>
      </c>
      <c r="H92" s="19">
        <v>1335.69</v>
      </c>
      <c r="I92" s="19">
        <v>1405.3200000000002</v>
      </c>
      <c r="J92">
        <v>5</v>
      </c>
      <c r="K92">
        <v>0.15</v>
      </c>
      <c r="L92" s="19">
        <v>-69.63</v>
      </c>
      <c r="M92" t="s">
        <v>1291</v>
      </c>
    </row>
    <row r="93" spans="1:13" x14ac:dyDescent="0.3">
      <c r="A93" t="s">
        <v>102</v>
      </c>
      <c r="B93" s="2" t="s">
        <v>594</v>
      </c>
      <c r="C93" s="2" t="s">
        <v>1345</v>
      </c>
      <c r="D93" s="38" t="s">
        <v>786</v>
      </c>
      <c r="E93" t="s">
        <v>787</v>
      </c>
      <c r="F93" t="s">
        <v>801</v>
      </c>
      <c r="G93" s="38" t="s">
        <v>892</v>
      </c>
      <c r="H93" s="19">
        <v>927.48</v>
      </c>
      <c r="I93" s="19">
        <v>860.01</v>
      </c>
      <c r="J93">
        <v>8</v>
      </c>
      <c r="K93">
        <v>0</v>
      </c>
      <c r="L93" s="19">
        <v>67.47</v>
      </c>
      <c r="M93" t="s">
        <v>1289</v>
      </c>
    </row>
    <row r="94" spans="1:13" x14ac:dyDescent="0.3">
      <c r="A94" t="s">
        <v>103</v>
      </c>
      <c r="B94" s="2" t="s">
        <v>585</v>
      </c>
      <c r="C94" s="2" t="s">
        <v>1343</v>
      </c>
      <c r="D94" s="38" t="s">
        <v>786</v>
      </c>
      <c r="E94" t="s">
        <v>787</v>
      </c>
      <c r="F94" t="s">
        <v>800</v>
      </c>
      <c r="G94" s="38" t="s">
        <v>893</v>
      </c>
      <c r="H94" s="19">
        <v>1540.88</v>
      </c>
      <c r="I94" s="19">
        <v>1643.0400000000002</v>
      </c>
      <c r="J94">
        <v>2</v>
      </c>
      <c r="K94">
        <v>0.15</v>
      </c>
      <c r="L94" s="19">
        <v>-102.16</v>
      </c>
      <c r="M94" t="s">
        <v>1290</v>
      </c>
    </row>
    <row r="95" spans="1:13" x14ac:dyDescent="0.3">
      <c r="A95" t="s">
        <v>104</v>
      </c>
      <c r="B95" s="2" t="s">
        <v>595</v>
      </c>
      <c r="C95" s="2" t="s">
        <v>1343</v>
      </c>
      <c r="D95" s="38" t="s">
        <v>785</v>
      </c>
      <c r="E95" t="s">
        <v>788</v>
      </c>
      <c r="F95" t="s">
        <v>796</v>
      </c>
      <c r="G95" s="38" t="s">
        <v>894</v>
      </c>
      <c r="H95" s="19">
        <v>146.85</v>
      </c>
      <c r="I95" s="19">
        <v>104.63</v>
      </c>
      <c r="J95">
        <v>8</v>
      </c>
      <c r="K95">
        <v>0</v>
      </c>
      <c r="L95" s="19">
        <v>42.22</v>
      </c>
      <c r="M95" t="s">
        <v>1289</v>
      </c>
    </row>
    <row r="96" spans="1:13" x14ac:dyDescent="0.3">
      <c r="A96" t="s">
        <v>105</v>
      </c>
      <c r="B96" s="2" t="s">
        <v>596</v>
      </c>
      <c r="C96" s="2" t="s">
        <v>1353</v>
      </c>
      <c r="D96" s="38" t="s">
        <v>784</v>
      </c>
      <c r="E96" t="s">
        <v>787</v>
      </c>
      <c r="F96" t="s">
        <v>790</v>
      </c>
      <c r="G96" s="38" t="s">
        <v>895</v>
      </c>
      <c r="H96" s="19">
        <v>1226.22</v>
      </c>
      <c r="I96" s="19">
        <v>1110.31</v>
      </c>
      <c r="J96">
        <v>4</v>
      </c>
      <c r="K96">
        <v>0</v>
      </c>
      <c r="L96" s="19">
        <v>115.91</v>
      </c>
      <c r="M96" t="s">
        <v>1291</v>
      </c>
    </row>
    <row r="97" spans="1:13" x14ac:dyDescent="0.3">
      <c r="A97" t="s">
        <v>106</v>
      </c>
      <c r="B97" s="2" t="s">
        <v>526</v>
      </c>
      <c r="C97" s="2" t="s">
        <v>1354</v>
      </c>
      <c r="D97" s="38" t="s">
        <v>784</v>
      </c>
      <c r="E97" t="s">
        <v>789</v>
      </c>
      <c r="F97" t="s">
        <v>797</v>
      </c>
      <c r="G97" s="38" t="s">
        <v>896</v>
      </c>
      <c r="H97" s="19">
        <v>891.67</v>
      </c>
      <c r="I97" s="19">
        <v>721.29</v>
      </c>
      <c r="J97">
        <v>9</v>
      </c>
      <c r="K97">
        <v>0.1</v>
      </c>
      <c r="L97" s="19">
        <v>170.38</v>
      </c>
      <c r="M97" t="s">
        <v>1290</v>
      </c>
    </row>
    <row r="98" spans="1:13" x14ac:dyDescent="0.3">
      <c r="A98" t="s">
        <v>107</v>
      </c>
      <c r="B98" s="2" t="s">
        <v>597</v>
      </c>
      <c r="C98" s="2" t="s">
        <v>1351</v>
      </c>
      <c r="D98" s="38" t="s">
        <v>784</v>
      </c>
      <c r="E98" t="s">
        <v>787</v>
      </c>
      <c r="F98" t="s">
        <v>801</v>
      </c>
      <c r="G98" s="38" t="s">
        <v>897</v>
      </c>
      <c r="H98" s="19">
        <v>578.1</v>
      </c>
      <c r="I98" s="19">
        <v>510.01</v>
      </c>
      <c r="J98">
        <v>10</v>
      </c>
      <c r="K98">
        <v>0.1</v>
      </c>
      <c r="L98" s="19">
        <v>68.09</v>
      </c>
      <c r="M98" t="s">
        <v>1289</v>
      </c>
    </row>
    <row r="99" spans="1:13" x14ac:dyDescent="0.3">
      <c r="A99" t="s">
        <v>108</v>
      </c>
      <c r="B99" s="2" t="s">
        <v>598</v>
      </c>
      <c r="C99" s="2" t="s">
        <v>1346</v>
      </c>
      <c r="D99" s="38" t="s">
        <v>784</v>
      </c>
      <c r="E99" t="s">
        <v>789</v>
      </c>
      <c r="F99" t="s">
        <v>798</v>
      </c>
      <c r="G99" s="38" t="s">
        <v>898</v>
      </c>
      <c r="H99" s="19">
        <v>402.82</v>
      </c>
      <c r="I99" s="19">
        <v>376.9</v>
      </c>
      <c r="J99">
        <v>4</v>
      </c>
      <c r="K99">
        <v>0</v>
      </c>
      <c r="L99" s="19">
        <v>25.92</v>
      </c>
      <c r="M99" t="s">
        <v>1290</v>
      </c>
    </row>
    <row r="100" spans="1:13" x14ac:dyDescent="0.3">
      <c r="A100" t="s">
        <v>109</v>
      </c>
      <c r="B100" s="2" t="s">
        <v>599</v>
      </c>
      <c r="C100" s="2" t="s">
        <v>1347</v>
      </c>
      <c r="D100" s="38" t="s">
        <v>786</v>
      </c>
      <c r="E100" t="s">
        <v>787</v>
      </c>
      <c r="F100" t="s">
        <v>790</v>
      </c>
      <c r="G100" s="38" t="s">
        <v>899</v>
      </c>
      <c r="H100" s="19">
        <v>648.70000000000005</v>
      </c>
      <c r="I100" s="19">
        <v>595.96</v>
      </c>
      <c r="J100">
        <v>5</v>
      </c>
      <c r="K100">
        <v>0.05</v>
      </c>
      <c r="L100" s="19">
        <v>52.74</v>
      </c>
      <c r="M100" t="s">
        <v>1290</v>
      </c>
    </row>
    <row r="101" spans="1:13" x14ac:dyDescent="0.3">
      <c r="A101" t="s">
        <v>110</v>
      </c>
      <c r="B101" s="2" t="s">
        <v>568</v>
      </c>
      <c r="C101" s="2" t="s">
        <v>1350</v>
      </c>
      <c r="D101" s="38" t="s">
        <v>786</v>
      </c>
      <c r="E101" t="s">
        <v>788</v>
      </c>
      <c r="F101" t="s">
        <v>791</v>
      </c>
      <c r="G101" s="38" t="s">
        <v>900</v>
      </c>
      <c r="H101" s="19">
        <v>445.59</v>
      </c>
      <c r="I101" s="19">
        <v>396.38</v>
      </c>
      <c r="J101">
        <v>6</v>
      </c>
      <c r="K101">
        <v>0.1</v>
      </c>
      <c r="L101" s="19">
        <v>49.21</v>
      </c>
      <c r="M101" t="s">
        <v>1290</v>
      </c>
    </row>
    <row r="102" spans="1:13" x14ac:dyDescent="0.3">
      <c r="A102" t="s">
        <v>111</v>
      </c>
      <c r="B102" s="2" t="s">
        <v>595</v>
      </c>
      <c r="C102" s="2" t="s">
        <v>1343</v>
      </c>
      <c r="D102" s="38" t="s">
        <v>786</v>
      </c>
      <c r="E102" t="s">
        <v>788</v>
      </c>
      <c r="F102" t="s">
        <v>793</v>
      </c>
      <c r="G102" s="38" t="s">
        <v>901</v>
      </c>
      <c r="H102" s="19">
        <v>1931.57</v>
      </c>
      <c r="I102" s="19">
        <v>1707.94</v>
      </c>
      <c r="J102">
        <v>5</v>
      </c>
      <c r="K102">
        <v>0</v>
      </c>
      <c r="L102" s="19">
        <v>223.63</v>
      </c>
      <c r="M102" t="s">
        <v>1289</v>
      </c>
    </row>
    <row r="103" spans="1:13" x14ac:dyDescent="0.3">
      <c r="A103" t="s">
        <v>112</v>
      </c>
      <c r="B103" s="2" t="s">
        <v>600</v>
      </c>
      <c r="C103" s="2" t="s">
        <v>1354</v>
      </c>
      <c r="D103" s="38" t="s">
        <v>783</v>
      </c>
      <c r="E103" t="s">
        <v>787</v>
      </c>
      <c r="F103" t="s">
        <v>790</v>
      </c>
      <c r="G103" s="38" t="s">
        <v>902</v>
      </c>
      <c r="H103" s="19">
        <v>553.01</v>
      </c>
      <c r="I103" s="19">
        <v>469.87</v>
      </c>
      <c r="J103">
        <v>2</v>
      </c>
      <c r="K103">
        <v>0</v>
      </c>
      <c r="L103" s="19">
        <v>83.14</v>
      </c>
      <c r="M103" t="s">
        <v>1290</v>
      </c>
    </row>
    <row r="104" spans="1:13" x14ac:dyDescent="0.3">
      <c r="A104" t="s">
        <v>113</v>
      </c>
      <c r="B104" s="2" t="s">
        <v>601</v>
      </c>
      <c r="C104" s="2" t="s">
        <v>1347</v>
      </c>
      <c r="D104" s="38" t="s">
        <v>784</v>
      </c>
      <c r="E104" t="s">
        <v>789</v>
      </c>
      <c r="F104" t="s">
        <v>799</v>
      </c>
      <c r="G104" s="38" t="s">
        <v>903</v>
      </c>
      <c r="H104" s="19">
        <v>1705.43</v>
      </c>
      <c r="I104" s="19">
        <v>1464.43</v>
      </c>
      <c r="J104">
        <v>7</v>
      </c>
      <c r="K104">
        <v>0.15</v>
      </c>
      <c r="L104" s="19">
        <v>241</v>
      </c>
      <c r="M104" t="s">
        <v>1290</v>
      </c>
    </row>
    <row r="105" spans="1:13" x14ac:dyDescent="0.3">
      <c r="A105" t="s">
        <v>114</v>
      </c>
      <c r="B105" s="2" t="s">
        <v>602</v>
      </c>
      <c r="C105" s="2" t="s">
        <v>1346</v>
      </c>
      <c r="D105" s="38" t="s">
        <v>783</v>
      </c>
      <c r="E105" t="s">
        <v>787</v>
      </c>
      <c r="F105" t="s">
        <v>792</v>
      </c>
      <c r="G105" s="38" t="s">
        <v>904</v>
      </c>
      <c r="H105" s="19">
        <v>1231.0999999999999</v>
      </c>
      <c r="I105" s="19">
        <v>1235.78</v>
      </c>
      <c r="J105">
        <v>8</v>
      </c>
      <c r="K105">
        <v>0.1</v>
      </c>
      <c r="L105" s="19">
        <v>-4.68</v>
      </c>
      <c r="M105" t="s">
        <v>1291</v>
      </c>
    </row>
    <row r="106" spans="1:13" x14ac:dyDescent="0.3">
      <c r="A106" t="s">
        <v>115</v>
      </c>
      <c r="B106" s="2" t="s">
        <v>599</v>
      </c>
      <c r="C106" s="2" t="s">
        <v>1347</v>
      </c>
      <c r="D106" s="38" t="s">
        <v>784</v>
      </c>
      <c r="E106" t="s">
        <v>788</v>
      </c>
      <c r="F106" t="s">
        <v>795</v>
      </c>
      <c r="G106" s="38" t="s">
        <v>905</v>
      </c>
      <c r="H106" s="19">
        <v>1426.42</v>
      </c>
      <c r="I106" s="19">
        <v>1242.56</v>
      </c>
      <c r="J106">
        <v>6</v>
      </c>
      <c r="K106">
        <v>0.05</v>
      </c>
      <c r="L106" s="19">
        <v>183.86</v>
      </c>
      <c r="M106" t="s">
        <v>1291</v>
      </c>
    </row>
    <row r="107" spans="1:13" x14ac:dyDescent="0.3">
      <c r="A107" t="s">
        <v>116</v>
      </c>
      <c r="B107" s="2" t="s">
        <v>603</v>
      </c>
      <c r="C107" s="2" t="s">
        <v>1343</v>
      </c>
      <c r="D107" s="38" t="s">
        <v>786</v>
      </c>
      <c r="E107" t="s">
        <v>788</v>
      </c>
      <c r="F107" t="s">
        <v>793</v>
      </c>
      <c r="G107" s="38" t="s">
        <v>906</v>
      </c>
      <c r="H107" s="19">
        <v>1841.55</v>
      </c>
      <c r="I107" s="19">
        <v>1321.61</v>
      </c>
      <c r="J107">
        <v>9</v>
      </c>
      <c r="K107">
        <v>0</v>
      </c>
      <c r="L107" s="19">
        <v>519.94000000000005</v>
      </c>
      <c r="M107" t="s">
        <v>1290</v>
      </c>
    </row>
    <row r="108" spans="1:13" x14ac:dyDescent="0.3">
      <c r="A108" t="s">
        <v>117</v>
      </c>
      <c r="B108" s="2" t="s">
        <v>604</v>
      </c>
      <c r="C108" s="2" t="s">
        <v>1349</v>
      </c>
      <c r="D108" s="38" t="s">
        <v>784</v>
      </c>
      <c r="E108" t="s">
        <v>788</v>
      </c>
      <c r="F108" t="s">
        <v>791</v>
      </c>
      <c r="G108" s="38" t="s">
        <v>907</v>
      </c>
      <c r="H108" s="19">
        <v>1168.52</v>
      </c>
      <c r="I108" s="19">
        <v>890.31</v>
      </c>
      <c r="J108">
        <v>10</v>
      </c>
      <c r="K108">
        <v>0</v>
      </c>
      <c r="L108" s="19">
        <v>278.20999999999998</v>
      </c>
      <c r="M108" t="s">
        <v>1289</v>
      </c>
    </row>
    <row r="109" spans="1:13" x14ac:dyDescent="0.3">
      <c r="A109" t="s">
        <v>118</v>
      </c>
      <c r="B109" s="2" t="s">
        <v>605</v>
      </c>
      <c r="C109" s="2" t="s">
        <v>1346</v>
      </c>
      <c r="D109" s="38" t="s">
        <v>783</v>
      </c>
      <c r="E109" t="s">
        <v>787</v>
      </c>
      <c r="F109" t="s">
        <v>792</v>
      </c>
      <c r="G109" s="38" t="s">
        <v>908</v>
      </c>
      <c r="H109" s="19">
        <v>585.32000000000005</v>
      </c>
      <c r="I109" s="19">
        <v>550.79000000000008</v>
      </c>
      <c r="J109">
        <v>1</v>
      </c>
      <c r="K109">
        <v>0</v>
      </c>
      <c r="L109" s="19">
        <v>34.53</v>
      </c>
      <c r="M109" t="s">
        <v>1290</v>
      </c>
    </row>
    <row r="110" spans="1:13" x14ac:dyDescent="0.3">
      <c r="A110" t="s">
        <v>119</v>
      </c>
      <c r="B110" s="2" t="s">
        <v>606</v>
      </c>
      <c r="C110" s="2" t="s">
        <v>1353</v>
      </c>
      <c r="D110" s="38" t="s">
        <v>783</v>
      </c>
      <c r="E110" t="s">
        <v>787</v>
      </c>
      <c r="F110" t="s">
        <v>790</v>
      </c>
      <c r="G110" s="38" t="s">
        <v>909</v>
      </c>
      <c r="H110" s="19">
        <v>1942.59</v>
      </c>
      <c r="I110" s="19">
        <v>1986.48</v>
      </c>
      <c r="J110">
        <v>5</v>
      </c>
      <c r="K110">
        <v>0.2</v>
      </c>
      <c r="L110" s="19">
        <v>-43.89</v>
      </c>
      <c r="M110" t="s">
        <v>1289</v>
      </c>
    </row>
    <row r="111" spans="1:13" x14ac:dyDescent="0.3">
      <c r="A111" t="s">
        <v>120</v>
      </c>
      <c r="B111" s="2" t="s">
        <v>568</v>
      </c>
      <c r="C111" s="2" t="s">
        <v>1350</v>
      </c>
      <c r="D111" s="38" t="s">
        <v>784</v>
      </c>
      <c r="E111" t="s">
        <v>788</v>
      </c>
      <c r="F111" t="s">
        <v>793</v>
      </c>
      <c r="G111" s="38" t="s">
        <v>910</v>
      </c>
      <c r="H111" s="19">
        <v>489.5</v>
      </c>
      <c r="I111" s="19">
        <v>424.04</v>
      </c>
      <c r="J111">
        <v>8</v>
      </c>
      <c r="K111">
        <v>0.05</v>
      </c>
      <c r="L111" s="19">
        <v>65.459999999999994</v>
      </c>
      <c r="M111" t="s">
        <v>1290</v>
      </c>
    </row>
    <row r="112" spans="1:13" x14ac:dyDescent="0.3">
      <c r="A112" t="s">
        <v>121</v>
      </c>
      <c r="B112" s="2" t="s">
        <v>607</v>
      </c>
      <c r="C112" s="2" t="s">
        <v>1353</v>
      </c>
      <c r="D112" s="38" t="s">
        <v>783</v>
      </c>
      <c r="E112" t="s">
        <v>787</v>
      </c>
      <c r="F112" t="s">
        <v>792</v>
      </c>
      <c r="G112" s="38" t="s">
        <v>911</v>
      </c>
      <c r="H112" s="19">
        <v>1096.25</v>
      </c>
      <c r="I112" s="19">
        <v>1143.4100000000001</v>
      </c>
      <c r="J112">
        <v>4</v>
      </c>
      <c r="K112">
        <v>0.15</v>
      </c>
      <c r="L112" s="19">
        <v>-47.16</v>
      </c>
      <c r="M112" t="s">
        <v>1291</v>
      </c>
    </row>
    <row r="113" spans="1:13" x14ac:dyDescent="0.3">
      <c r="A113" t="s">
        <v>122</v>
      </c>
      <c r="B113" s="2" t="s">
        <v>608</v>
      </c>
      <c r="C113" s="2" t="s">
        <v>1349</v>
      </c>
      <c r="D113" s="38" t="s">
        <v>786</v>
      </c>
      <c r="E113" t="s">
        <v>789</v>
      </c>
      <c r="F113" t="s">
        <v>799</v>
      </c>
      <c r="G113" s="38" t="s">
        <v>912</v>
      </c>
      <c r="H113" s="19">
        <v>789.85</v>
      </c>
      <c r="I113" s="19">
        <v>650.98</v>
      </c>
      <c r="J113">
        <v>8</v>
      </c>
      <c r="K113">
        <v>0.1</v>
      </c>
      <c r="L113" s="19">
        <v>138.87</v>
      </c>
      <c r="M113" t="s">
        <v>1290</v>
      </c>
    </row>
    <row r="114" spans="1:13" x14ac:dyDescent="0.3">
      <c r="A114" t="s">
        <v>123</v>
      </c>
      <c r="B114" s="2" t="s">
        <v>609</v>
      </c>
      <c r="C114" s="2" t="s">
        <v>1354</v>
      </c>
      <c r="D114" s="38" t="s">
        <v>784</v>
      </c>
      <c r="E114" t="s">
        <v>789</v>
      </c>
      <c r="F114" t="s">
        <v>794</v>
      </c>
      <c r="G114" s="38" t="s">
        <v>913</v>
      </c>
      <c r="H114" s="19">
        <v>1647.24</v>
      </c>
      <c r="I114" s="19">
        <v>1254.0999999999999</v>
      </c>
      <c r="J114">
        <v>9</v>
      </c>
      <c r="K114">
        <v>0.05</v>
      </c>
      <c r="L114" s="19">
        <v>393.14</v>
      </c>
      <c r="M114" t="s">
        <v>1289</v>
      </c>
    </row>
    <row r="115" spans="1:13" x14ac:dyDescent="0.3">
      <c r="A115" t="s">
        <v>124</v>
      </c>
      <c r="B115" s="2" t="s">
        <v>535</v>
      </c>
      <c r="C115" s="2" t="s">
        <v>1349</v>
      </c>
      <c r="D115" s="38" t="s">
        <v>783</v>
      </c>
      <c r="E115" t="s">
        <v>789</v>
      </c>
      <c r="F115" t="s">
        <v>799</v>
      </c>
      <c r="G115" s="38" t="s">
        <v>914</v>
      </c>
      <c r="H115" s="19">
        <v>660.73</v>
      </c>
      <c r="I115" s="19">
        <v>645.37</v>
      </c>
      <c r="J115">
        <v>2</v>
      </c>
      <c r="K115">
        <v>0.1</v>
      </c>
      <c r="L115" s="19">
        <v>15.36</v>
      </c>
      <c r="M115" t="s">
        <v>1290</v>
      </c>
    </row>
    <row r="116" spans="1:13" x14ac:dyDescent="0.3">
      <c r="A116" t="s">
        <v>125</v>
      </c>
      <c r="B116" s="2" t="s">
        <v>610</v>
      </c>
      <c r="C116" s="2" t="s">
        <v>1351</v>
      </c>
      <c r="D116" s="38" t="s">
        <v>784</v>
      </c>
      <c r="E116" t="s">
        <v>787</v>
      </c>
      <c r="F116" t="s">
        <v>800</v>
      </c>
      <c r="G116" s="38" t="s">
        <v>915</v>
      </c>
      <c r="H116" s="19">
        <v>746.29</v>
      </c>
      <c r="I116" s="19">
        <v>744.38</v>
      </c>
      <c r="J116">
        <v>2</v>
      </c>
      <c r="K116">
        <v>0.2</v>
      </c>
      <c r="L116" s="19">
        <v>1.91</v>
      </c>
      <c r="M116" t="s">
        <v>1289</v>
      </c>
    </row>
    <row r="117" spans="1:13" x14ac:dyDescent="0.3">
      <c r="A117" t="s">
        <v>126</v>
      </c>
      <c r="B117" s="2" t="s">
        <v>611</v>
      </c>
      <c r="C117" s="2" t="s">
        <v>1348</v>
      </c>
      <c r="D117" s="38" t="s">
        <v>786</v>
      </c>
      <c r="E117" t="s">
        <v>788</v>
      </c>
      <c r="F117" t="s">
        <v>795</v>
      </c>
      <c r="G117" s="38" t="s">
        <v>916</v>
      </c>
      <c r="H117" s="19">
        <v>744.74</v>
      </c>
      <c r="I117" s="19">
        <v>711.58</v>
      </c>
      <c r="J117">
        <v>3</v>
      </c>
      <c r="K117">
        <v>0.2</v>
      </c>
      <c r="L117" s="19">
        <v>33.159999999999997</v>
      </c>
      <c r="M117" t="s">
        <v>1290</v>
      </c>
    </row>
    <row r="118" spans="1:13" x14ac:dyDescent="0.3">
      <c r="A118" t="s">
        <v>127</v>
      </c>
      <c r="B118" s="2" t="s">
        <v>612</v>
      </c>
      <c r="C118" s="2" t="s">
        <v>1350</v>
      </c>
      <c r="D118" s="38" t="s">
        <v>783</v>
      </c>
      <c r="E118" t="s">
        <v>787</v>
      </c>
      <c r="F118" t="s">
        <v>790</v>
      </c>
      <c r="G118" s="38" t="s">
        <v>917</v>
      </c>
      <c r="H118" s="19">
        <v>698.66</v>
      </c>
      <c r="I118" s="19">
        <v>514.46</v>
      </c>
      <c r="J118">
        <v>4</v>
      </c>
      <c r="K118">
        <v>0</v>
      </c>
      <c r="L118" s="19">
        <v>184.2</v>
      </c>
      <c r="M118" t="s">
        <v>1289</v>
      </c>
    </row>
    <row r="119" spans="1:13" x14ac:dyDescent="0.3">
      <c r="A119" t="s">
        <v>128</v>
      </c>
      <c r="B119" s="2" t="s">
        <v>613</v>
      </c>
      <c r="C119" s="2" t="s">
        <v>1347</v>
      </c>
      <c r="D119" s="38" t="s">
        <v>783</v>
      </c>
      <c r="E119" t="s">
        <v>787</v>
      </c>
      <c r="F119" t="s">
        <v>800</v>
      </c>
      <c r="G119" s="38" t="s">
        <v>918</v>
      </c>
      <c r="H119" s="19">
        <v>660.28</v>
      </c>
      <c r="I119" s="19">
        <v>690.62</v>
      </c>
      <c r="J119">
        <v>1</v>
      </c>
      <c r="K119">
        <v>0.15</v>
      </c>
      <c r="L119" s="19">
        <v>-30.34</v>
      </c>
      <c r="M119" t="s">
        <v>1290</v>
      </c>
    </row>
    <row r="120" spans="1:13" x14ac:dyDescent="0.3">
      <c r="A120" t="s">
        <v>129</v>
      </c>
      <c r="B120" s="2" t="s">
        <v>560</v>
      </c>
      <c r="C120" s="2" t="s">
        <v>1349</v>
      </c>
      <c r="D120" s="38" t="s">
        <v>784</v>
      </c>
      <c r="E120" t="s">
        <v>787</v>
      </c>
      <c r="F120" t="s">
        <v>792</v>
      </c>
      <c r="G120" s="38" t="s">
        <v>919</v>
      </c>
      <c r="H120" s="19">
        <v>90.76</v>
      </c>
      <c r="I120" s="19">
        <v>77.89</v>
      </c>
      <c r="J120">
        <v>5</v>
      </c>
      <c r="K120">
        <v>0.05</v>
      </c>
      <c r="L120" s="19">
        <v>12.87</v>
      </c>
      <c r="M120" t="s">
        <v>1291</v>
      </c>
    </row>
    <row r="121" spans="1:13" x14ac:dyDescent="0.3">
      <c r="A121" t="s">
        <v>130</v>
      </c>
      <c r="B121" s="2" t="s">
        <v>614</v>
      </c>
      <c r="C121" s="2" t="s">
        <v>1347</v>
      </c>
      <c r="D121" s="38" t="s">
        <v>783</v>
      </c>
      <c r="E121" t="s">
        <v>789</v>
      </c>
      <c r="F121" t="s">
        <v>794</v>
      </c>
      <c r="G121" s="38" t="s">
        <v>920</v>
      </c>
      <c r="H121" s="19">
        <v>124.45</v>
      </c>
      <c r="I121" s="19">
        <v>103.38</v>
      </c>
      <c r="J121">
        <v>6</v>
      </c>
      <c r="K121">
        <v>0</v>
      </c>
      <c r="L121" s="19">
        <v>21.07</v>
      </c>
      <c r="M121" t="s">
        <v>1291</v>
      </c>
    </row>
    <row r="122" spans="1:13" x14ac:dyDescent="0.3">
      <c r="A122" t="s">
        <v>131</v>
      </c>
      <c r="B122" s="2" t="s">
        <v>615</v>
      </c>
      <c r="C122" s="2" t="s">
        <v>1353</v>
      </c>
      <c r="D122" s="38" t="s">
        <v>784</v>
      </c>
      <c r="E122" t="s">
        <v>788</v>
      </c>
      <c r="F122" t="s">
        <v>793</v>
      </c>
      <c r="G122" s="38" t="s">
        <v>921</v>
      </c>
      <c r="H122" s="19">
        <v>1141.68</v>
      </c>
      <c r="I122" s="19">
        <v>1062.0900000000001</v>
      </c>
      <c r="J122">
        <v>8</v>
      </c>
      <c r="K122">
        <v>0</v>
      </c>
      <c r="L122" s="19">
        <v>79.59</v>
      </c>
      <c r="M122" t="s">
        <v>1290</v>
      </c>
    </row>
    <row r="123" spans="1:13" x14ac:dyDescent="0.3">
      <c r="A123" t="s">
        <v>132</v>
      </c>
      <c r="B123" s="2" t="s">
        <v>613</v>
      </c>
      <c r="C123" s="2" t="s">
        <v>1347</v>
      </c>
      <c r="D123" s="38" t="s">
        <v>785</v>
      </c>
      <c r="E123" t="s">
        <v>789</v>
      </c>
      <c r="F123" t="s">
        <v>797</v>
      </c>
      <c r="G123" s="38" t="s">
        <v>922</v>
      </c>
      <c r="H123" s="19">
        <v>1598.76</v>
      </c>
      <c r="I123" s="19">
        <v>1398.07</v>
      </c>
      <c r="J123">
        <v>10</v>
      </c>
      <c r="K123">
        <v>0.05</v>
      </c>
      <c r="L123" s="19">
        <v>200.69</v>
      </c>
      <c r="M123" t="s">
        <v>1290</v>
      </c>
    </row>
    <row r="124" spans="1:13" x14ac:dyDescent="0.3">
      <c r="A124" t="s">
        <v>133</v>
      </c>
      <c r="B124" s="2" t="s">
        <v>616</v>
      </c>
      <c r="C124" s="2" t="s">
        <v>1354</v>
      </c>
      <c r="D124" s="38" t="s">
        <v>784</v>
      </c>
      <c r="E124" t="s">
        <v>789</v>
      </c>
      <c r="F124" t="s">
        <v>797</v>
      </c>
      <c r="G124" s="38" t="s">
        <v>923</v>
      </c>
      <c r="H124" s="19">
        <v>80.27</v>
      </c>
      <c r="I124" s="19">
        <v>65.55</v>
      </c>
      <c r="J124">
        <v>7</v>
      </c>
      <c r="K124">
        <v>0.05</v>
      </c>
      <c r="L124" s="19">
        <v>14.72</v>
      </c>
      <c r="M124" t="s">
        <v>1290</v>
      </c>
    </row>
    <row r="125" spans="1:13" x14ac:dyDescent="0.3">
      <c r="A125" t="s">
        <v>134</v>
      </c>
      <c r="B125" s="2" t="s">
        <v>617</v>
      </c>
      <c r="C125" s="2" t="s">
        <v>1343</v>
      </c>
      <c r="D125" s="38" t="s">
        <v>786</v>
      </c>
      <c r="E125" t="s">
        <v>788</v>
      </c>
      <c r="F125" t="s">
        <v>793</v>
      </c>
      <c r="G125" s="38" t="s">
        <v>924</v>
      </c>
      <c r="H125" s="19">
        <v>264.51</v>
      </c>
      <c r="I125" s="19">
        <v>251.45999999999998</v>
      </c>
      <c r="J125">
        <v>5</v>
      </c>
      <c r="K125">
        <v>0.15</v>
      </c>
      <c r="L125" s="19">
        <v>13.05</v>
      </c>
      <c r="M125" t="s">
        <v>1289</v>
      </c>
    </row>
    <row r="126" spans="1:13" x14ac:dyDescent="0.3">
      <c r="A126" t="s">
        <v>135</v>
      </c>
      <c r="B126" s="2" t="s">
        <v>591</v>
      </c>
      <c r="C126" s="2" t="s">
        <v>1345</v>
      </c>
      <c r="D126" s="38" t="s">
        <v>785</v>
      </c>
      <c r="E126" t="s">
        <v>789</v>
      </c>
      <c r="F126" t="s">
        <v>797</v>
      </c>
      <c r="G126" s="38" t="s">
        <v>925</v>
      </c>
      <c r="H126" s="19">
        <v>282.92</v>
      </c>
      <c r="I126" s="19">
        <v>253.08</v>
      </c>
      <c r="J126">
        <v>9</v>
      </c>
      <c r="K126">
        <v>0.15</v>
      </c>
      <c r="L126" s="19">
        <v>29.84</v>
      </c>
      <c r="M126" t="s">
        <v>1290</v>
      </c>
    </row>
    <row r="127" spans="1:13" x14ac:dyDescent="0.3">
      <c r="A127" t="s">
        <v>136</v>
      </c>
      <c r="B127" s="2" t="s">
        <v>618</v>
      </c>
      <c r="C127" s="2" t="s">
        <v>1345</v>
      </c>
      <c r="D127" s="38" t="s">
        <v>785</v>
      </c>
      <c r="E127" t="s">
        <v>789</v>
      </c>
      <c r="F127" t="s">
        <v>797</v>
      </c>
      <c r="G127" s="38" t="s">
        <v>926</v>
      </c>
      <c r="H127" s="19">
        <v>1543.21</v>
      </c>
      <c r="I127" s="19">
        <v>1555</v>
      </c>
      <c r="J127">
        <v>1</v>
      </c>
      <c r="K127">
        <v>0.2</v>
      </c>
      <c r="L127" s="19">
        <v>-11.79</v>
      </c>
      <c r="M127" t="s">
        <v>1290</v>
      </c>
    </row>
    <row r="128" spans="1:13" x14ac:dyDescent="0.3">
      <c r="A128" t="s">
        <v>137</v>
      </c>
      <c r="B128" s="2" t="s">
        <v>570</v>
      </c>
      <c r="C128" s="2" t="s">
        <v>1346</v>
      </c>
      <c r="D128" s="38" t="s">
        <v>783</v>
      </c>
      <c r="E128" t="s">
        <v>788</v>
      </c>
      <c r="F128" t="s">
        <v>791</v>
      </c>
      <c r="G128" s="38" t="s">
        <v>927</v>
      </c>
      <c r="H128" s="19">
        <v>1117.78</v>
      </c>
      <c r="I128" s="19">
        <v>890.5</v>
      </c>
      <c r="J128">
        <v>3</v>
      </c>
      <c r="K128">
        <v>0.05</v>
      </c>
      <c r="L128" s="19">
        <v>227.28</v>
      </c>
      <c r="M128" t="s">
        <v>1291</v>
      </c>
    </row>
    <row r="129" spans="1:13" x14ac:dyDescent="0.3">
      <c r="A129" t="s">
        <v>138</v>
      </c>
      <c r="B129" s="2" t="s">
        <v>619</v>
      </c>
      <c r="C129" s="2" t="s">
        <v>1348</v>
      </c>
      <c r="D129" s="38" t="s">
        <v>785</v>
      </c>
      <c r="E129" t="s">
        <v>789</v>
      </c>
      <c r="F129" t="s">
        <v>799</v>
      </c>
      <c r="G129" s="38" t="s">
        <v>928</v>
      </c>
      <c r="H129" s="19">
        <v>1704.61</v>
      </c>
      <c r="I129" s="19">
        <v>1703.4199999999998</v>
      </c>
      <c r="J129">
        <v>2</v>
      </c>
      <c r="K129">
        <v>0.15</v>
      </c>
      <c r="L129" s="19">
        <v>1.19</v>
      </c>
      <c r="M129" t="s">
        <v>1289</v>
      </c>
    </row>
    <row r="130" spans="1:13" x14ac:dyDescent="0.3">
      <c r="A130" t="s">
        <v>139</v>
      </c>
      <c r="B130" s="2" t="s">
        <v>553</v>
      </c>
      <c r="C130" s="2" t="s">
        <v>1345</v>
      </c>
      <c r="D130" s="38" t="s">
        <v>786</v>
      </c>
      <c r="E130" t="s">
        <v>787</v>
      </c>
      <c r="F130" t="s">
        <v>790</v>
      </c>
      <c r="G130" s="38" t="s">
        <v>929</v>
      </c>
      <c r="H130" s="19">
        <v>63.92</v>
      </c>
      <c r="I130" s="19">
        <v>63.190000000000005</v>
      </c>
      <c r="J130">
        <v>6</v>
      </c>
      <c r="K130">
        <v>0.1</v>
      </c>
      <c r="L130" s="19">
        <v>0.73</v>
      </c>
      <c r="M130" t="s">
        <v>1289</v>
      </c>
    </row>
    <row r="131" spans="1:13" x14ac:dyDescent="0.3">
      <c r="A131" t="s">
        <v>140</v>
      </c>
      <c r="B131" s="2" t="s">
        <v>616</v>
      </c>
      <c r="C131" s="2" t="s">
        <v>1354</v>
      </c>
      <c r="D131" s="38" t="s">
        <v>786</v>
      </c>
      <c r="E131" t="s">
        <v>787</v>
      </c>
      <c r="F131" t="s">
        <v>800</v>
      </c>
      <c r="G131" s="38" t="s">
        <v>930</v>
      </c>
      <c r="H131" s="19">
        <v>1592.66</v>
      </c>
      <c r="I131" s="19">
        <v>1290.46</v>
      </c>
      <c r="J131">
        <v>7</v>
      </c>
      <c r="K131">
        <v>0.05</v>
      </c>
      <c r="L131" s="19">
        <v>302.2</v>
      </c>
      <c r="M131" t="s">
        <v>1291</v>
      </c>
    </row>
    <row r="132" spans="1:13" x14ac:dyDescent="0.3">
      <c r="A132" t="s">
        <v>141</v>
      </c>
      <c r="B132" s="2" t="s">
        <v>620</v>
      </c>
      <c r="C132" s="2" t="s">
        <v>1346</v>
      </c>
      <c r="D132" s="38" t="s">
        <v>786</v>
      </c>
      <c r="E132" t="s">
        <v>789</v>
      </c>
      <c r="F132" t="s">
        <v>798</v>
      </c>
      <c r="G132" s="38" t="s">
        <v>931</v>
      </c>
      <c r="H132" s="19">
        <v>1946.61</v>
      </c>
      <c r="I132" s="19">
        <v>1881.52</v>
      </c>
      <c r="J132">
        <v>10</v>
      </c>
      <c r="K132">
        <v>0.15</v>
      </c>
      <c r="L132" s="19">
        <v>65.09</v>
      </c>
      <c r="M132" t="s">
        <v>1291</v>
      </c>
    </row>
    <row r="133" spans="1:13" x14ac:dyDescent="0.3">
      <c r="A133" t="s">
        <v>142</v>
      </c>
      <c r="B133" s="2" t="s">
        <v>528</v>
      </c>
      <c r="C133" s="2" t="s">
        <v>1348</v>
      </c>
      <c r="D133" s="38" t="s">
        <v>784</v>
      </c>
      <c r="E133" t="s">
        <v>788</v>
      </c>
      <c r="F133" t="s">
        <v>796</v>
      </c>
      <c r="G133" s="38" t="s">
        <v>932</v>
      </c>
      <c r="H133" s="19">
        <v>1626.31</v>
      </c>
      <c r="I133" s="19">
        <v>1463.29</v>
      </c>
      <c r="J133">
        <v>2</v>
      </c>
      <c r="K133">
        <v>0</v>
      </c>
      <c r="L133" s="19">
        <v>163.02000000000001</v>
      </c>
      <c r="M133" t="s">
        <v>1291</v>
      </c>
    </row>
    <row r="134" spans="1:13" x14ac:dyDescent="0.3">
      <c r="A134" t="s">
        <v>143</v>
      </c>
      <c r="B134" s="2" t="s">
        <v>621</v>
      </c>
      <c r="C134" s="2" t="s">
        <v>1344</v>
      </c>
      <c r="D134" s="38" t="s">
        <v>783</v>
      </c>
      <c r="E134" t="s">
        <v>787</v>
      </c>
      <c r="F134" t="s">
        <v>792</v>
      </c>
      <c r="G134" s="38" t="s">
        <v>933</v>
      </c>
      <c r="H134" s="19">
        <v>134.72999999999999</v>
      </c>
      <c r="I134" s="19">
        <v>142.10999999999999</v>
      </c>
      <c r="J134">
        <v>2</v>
      </c>
      <c r="K134">
        <v>0.2</v>
      </c>
      <c r="L134" s="19">
        <v>-7.38</v>
      </c>
      <c r="M134" t="s">
        <v>1290</v>
      </c>
    </row>
    <row r="135" spans="1:13" x14ac:dyDescent="0.3">
      <c r="A135" t="s">
        <v>144</v>
      </c>
      <c r="B135" s="2" t="s">
        <v>622</v>
      </c>
      <c r="C135" s="2" t="s">
        <v>1350</v>
      </c>
      <c r="D135" s="38" t="s">
        <v>786</v>
      </c>
      <c r="E135" t="s">
        <v>789</v>
      </c>
      <c r="F135" t="s">
        <v>799</v>
      </c>
      <c r="G135" s="38" t="s">
        <v>934</v>
      </c>
      <c r="H135" s="19">
        <v>624.4</v>
      </c>
      <c r="I135" s="19">
        <v>444.4</v>
      </c>
      <c r="J135">
        <v>5</v>
      </c>
      <c r="K135">
        <v>0</v>
      </c>
      <c r="L135" s="19">
        <v>180</v>
      </c>
      <c r="M135" t="s">
        <v>1290</v>
      </c>
    </row>
    <row r="136" spans="1:13" x14ac:dyDescent="0.3">
      <c r="A136" t="s">
        <v>145</v>
      </c>
      <c r="B136" s="2" t="s">
        <v>623</v>
      </c>
      <c r="C136" s="2" t="s">
        <v>1354</v>
      </c>
      <c r="D136" s="38" t="s">
        <v>786</v>
      </c>
      <c r="E136" t="s">
        <v>789</v>
      </c>
      <c r="F136" t="s">
        <v>799</v>
      </c>
      <c r="G136" s="38" t="s">
        <v>935</v>
      </c>
      <c r="H136" s="19">
        <v>1413.84</v>
      </c>
      <c r="I136" s="19">
        <v>1425.86</v>
      </c>
      <c r="J136">
        <v>6</v>
      </c>
      <c r="K136">
        <v>0.15</v>
      </c>
      <c r="L136" s="19">
        <v>-12.02</v>
      </c>
      <c r="M136" t="s">
        <v>1291</v>
      </c>
    </row>
    <row r="137" spans="1:13" x14ac:dyDescent="0.3">
      <c r="A137" t="s">
        <v>146</v>
      </c>
      <c r="B137" s="2" t="s">
        <v>576</v>
      </c>
      <c r="C137" s="2" t="s">
        <v>1354</v>
      </c>
      <c r="D137" s="38" t="s">
        <v>784</v>
      </c>
      <c r="E137" t="s">
        <v>787</v>
      </c>
      <c r="F137" t="s">
        <v>801</v>
      </c>
      <c r="G137" s="38" t="s">
        <v>936</v>
      </c>
      <c r="H137" s="19">
        <v>207.11</v>
      </c>
      <c r="I137" s="19">
        <v>182.88000000000002</v>
      </c>
      <c r="J137">
        <v>2</v>
      </c>
      <c r="K137">
        <v>0.05</v>
      </c>
      <c r="L137" s="19">
        <v>24.23</v>
      </c>
      <c r="M137" t="s">
        <v>1290</v>
      </c>
    </row>
    <row r="138" spans="1:13" x14ac:dyDescent="0.3">
      <c r="A138" t="s">
        <v>147</v>
      </c>
      <c r="B138" s="2" t="s">
        <v>624</v>
      </c>
      <c r="C138" s="2" t="s">
        <v>1352</v>
      </c>
      <c r="D138" s="38" t="s">
        <v>783</v>
      </c>
      <c r="E138" t="s">
        <v>788</v>
      </c>
      <c r="F138" t="s">
        <v>791</v>
      </c>
      <c r="G138" s="38" t="s">
        <v>937</v>
      </c>
      <c r="H138" s="19">
        <v>1446.14</v>
      </c>
      <c r="I138" s="19">
        <v>1261.0400000000002</v>
      </c>
      <c r="J138">
        <v>4</v>
      </c>
      <c r="K138">
        <v>0.15</v>
      </c>
      <c r="L138" s="19">
        <v>185.1</v>
      </c>
      <c r="M138" t="s">
        <v>1289</v>
      </c>
    </row>
    <row r="139" spans="1:13" x14ac:dyDescent="0.3">
      <c r="A139" t="s">
        <v>148</v>
      </c>
      <c r="B139" s="2" t="s">
        <v>625</v>
      </c>
      <c r="C139" s="2" t="s">
        <v>1353</v>
      </c>
      <c r="D139" s="38" t="s">
        <v>786</v>
      </c>
      <c r="E139" t="s">
        <v>787</v>
      </c>
      <c r="F139" t="s">
        <v>800</v>
      </c>
      <c r="G139" s="38" t="s">
        <v>938</v>
      </c>
      <c r="H139" s="19">
        <v>358.86</v>
      </c>
      <c r="I139" s="19">
        <v>389.84000000000003</v>
      </c>
      <c r="J139">
        <v>10</v>
      </c>
      <c r="K139">
        <v>0.2</v>
      </c>
      <c r="L139" s="19">
        <v>-30.98</v>
      </c>
      <c r="M139" t="s">
        <v>1289</v>
      </c>
    </row>
    <row r="140" spans="1:13" x14ac:dyDescent="0.3">
      <c r="A140" t="s">
        <v>149</v>
      </c>
      <c r="B140" s="2" t="s">
        <v>537</v>
      </c>
      <c r="C140" s="2" t="s">
        <v>1346</v>
      </c>
      <c r="D140" s="38" t="s">
        <v>783</v>
      </c>
      <c r="E140" t="s">
        <v>789</v>
      </c>
      <c r="F140" t="s">
        <v>797</v>
      </c>
      <c r="G140" s="38" t="s">
        <v>939</v>
      </c>
      <c r="H140" s="19">
        <v>106.16</v>
      </c>
      <c r="I140" s="19">
        <v>107.22</v>
      </c>
      <c r="J140">
        <v>7</v>
      </c>
      <c r="K140">
        <v>0.15</v>
      </c>
      <c r="L140" s="19">
        <v>-1.06</v>
      </c>
      <c r="M140" t="s">
        <v>1289</v>
      </c>
    </row>
    <row r="141" spans="1:13" x14ac:dyDescent="0.3">
      <c r="A141" t="s">
        <v>150</v>
      </c>
      <c r="B141" s="2" t="s">
        <v>574</v>
      </c>
      <c r="C141" s="2" t="s">
        <v>1350</v>
      </c>
      <c r="D141" s="38" t="s">
        <v>786</v>
      </c>
      <c r="E141" t="s">
        <v>787</v>
      </c>
      <c r="F141" t="s">
        <v>790</v>
      </c>
      <c r="G141" s="38" t="s">
        <v>940</v>
      </c>
      <c r="H141" s="19">
        <v>1603.55</v>
      </c>
      <c r="I141" s="19">
        <v>1666.4099999999999</v>
      </c>
      <c r="J141">
        <v>6</v>
      </c>
      <c r="K141">
        <v>0.2</v>
      </c>
      <c r="L141" s="19">
        <v>-62.86</v>
      </c>
      <c r="M141" t="s">
        <v>1290</v>
      </c>
    </row>
    <row r="142" spans="1:13" x14ac:dyDescent="0.3">
      <c r="A142" t="s">
        <v>151</v>
      </c>
      <c r="B142" s="2" t="s">
        <v>626</v>
      </c>
      <c r="C142" s="2" t="s">
        <v>1344</v>
      </c>
      <c r="D142" s="38" t="s">
        <v>785</v>
      </c>
      <c r="E142" t="s">
        <v>787</v>
      </c>
      <c r="F142" t="s">
        <v>792</v>
      </c>
      <c r="G142" s="38" t="s">
        <v>941</v>
      </c>
      <c r="H142" s="19">
        <v>1056.67</v>
      </c>
      <c r="I142" s="19">
        <v>885.19</v>
      </c>
      <c r="J142">
        <v>1</v>
      </c>
      <c r="K142">
        <v>0.1</v>
      </c>
      <c r="L142" s="19">
        <v>171.48</v>
      </c>
      <c r="M142" t="s">
        <v>1289</v>
      </c>
    </row>
    <row r="143" spans="1:13" x14ac:dyDescent="0.3">
      <c r="A143" t="s">
        <v>152</v>
      </c>
      <c r="B143" s="2" t="s">
        <v>627</v>
      </c>
      <c r="C143" s="2" t="s">
        <v>1350</v>
      </c>
      <c r="D143" s="38" t="s">
        <v>786</v>
      </c>
      <c r="E143" t="s">
        <v>789</v>
      </c>
      <c r="F143" t="s">
        <v>794</v>
      </c>
      <c r="G143" s="38" t="s">
        <v>942</v>
      </c>
      <c r="H143" s="19">
        <v>1995.19</v>
      </c>
      <c r="I143" s="19">
        <v>1951.81</v>
      </c>
      <c r="J143">
        <v>7</v>
      </c>
      <c r="K143">
        <v>0.15</v>
      </c>
      <c r="L143" s="19">
        <v>43.38</v>
      </c>
      <c r="M143" t="s">
        <v>1290</v>
      </c>
    </row>
    <row r="144" spans="1:13" x14ac:dyDescent="0.3">
      <c r="A144" t="s">
        <v>153</v>
      </c>
      <c r="B144" s="2" t="s">
        <v>628</v>
      </c>
      <c r="C144" s="2" t="s">
        <v>1349</v>
      </c>
      <c r="D144" s="38" t="s">
        <v>785</v>
      </c>
      <c r="E144" t="s">
        <v>787</v>
      </c>
      <c r="F144" t="s">
        <v>801</v>
      </c>
      <c r="G144" s="38" t="s">
        <v>943</v>
      </c>
      <c r="H144" s="19">
        <v>562.48</v>
      </c>
      <c r="I144" s="19">
        <v>523.79</v>
      </c>
      <c r="J144">
        <v>1</v>
      </c>
      <c r="K144">
        <v>0.2</v>
      </c>
      <c r="L144" s="19">
        <v>38.69</v>
      </c>
      <c r="M144" t="s">
        <v>1289</v>
      </c>
    </row>
    <row r="145" spans="1:13" x14ac:dyDescent="0.3">
      <c r="A145" t="s">
        <v>154</v>
      </c>
      <c r="B145" s="2" t="s">
        <v>616</v>
      </c>
      <c r="C145" s="2" t="s">
        <v>1354</v>
      </c>
      <c r="D145" s="38" t="s">
        <v>786</v>
      </c>
      <c r="E145" t="s">
        <v>789</v>
      </c>
      <c r="F145" t="s">
        <v>798</v>
      </c>
      <c r="G145" s="38" t="s">
        <v>944</v>
      </c>
      <c r="H145" s="19">
        <v>1588.83</v>
      </c>
      <c r="I145" s="19">
        <v>1561.71</v>
      </c>
      <c r="J145">
        <v>3</v>
      </c>
      <c r="K145">
        <v>0.1</v>
      </c>
      <c r="L145" s="19">
        <v>27.12</v>
      </c>
      <c r="M145" t="s">
        <v>1289</v>
      </c>
    </row>
    <row r="146" spans="1:13" x14ac:dyDescent="0.3">
      <c r="A146" t="s">
        <v>155</v>
      </c>
      <c r="B146" s="2" t="s">
        <v>629</v>
      </c>
      <c r="C146" s="2" t="s">
        <v>1353</v>
      </c>
      <c r="D146" s="38" t="s">
        <v>786</v>
      </c>
      <c r="E146" t="s">
        <v>789</v>
      </c>
      <c r="F146" t="s">
        <v>798</v>
      </c>
      <c r="G146" s="38" t="s">
        <v>945</v>
      </c>
      <c r="H146" s="19">
        <v>500.01</v>
      </c>
      <c r="I146" s="19">
        <v>400.78</v>
      </c>
      <c r="J146">
        <v>1</v>
      </c>
      <c r="K146">
        <v>0.1</v>
      </c>
      <c r="L146" s="19">
        <v>99.23</v>
      </c>
      <c r="M146" t="s">
        <v>1289</v>
      </c>
    </row>
    <row r="147" spans="1:13" x14ac:dyDescent="0.3">
      <c r="A147" t="s">
        <v>156</v>
      </c>
      <c r="B147" s="2" t="s">
        <v>630</v>
      </c>
      <c r="C147" s="2" t="s">
        <v>1346</v>
      </c>
      <c r="D147" s="38" t="s">
        <v>783</v>
      </c>
      <c r="E147" t="s">
        <v>788</v>
      </c>
      <c r="F147" t="s">
        <v>796</v>
      </c>
      <c r="G147" s="38" t="s">
        <v>946</v>
      </c>
      <c r="H147" s="19">
        <v>1537.47</v>
      </c>
      <c r="I147" s="19">
        <v>1367.8400000000001</v>
      </c>
      <c r="J147">
        <v>4</v>
      </c>
      <c r="K147">
        <v>0</v>
      </c>
      <c r="L147" s="19">
        <v>169.63</v>
      </c>
      <c r="M147" t="s">
        <v>1290</v>
      </c>
    </row>
    <row r="148" spans="1:13" x14ac:dyDescent="0.3">
      <c r="A148" t="s">
        <v>157</v>
      </c>
      <c r="B148" s="2" t="s">
        <v>631</v>
      </c>
      <c r="C148" s="2" t="s">
        <v>1347</v>
      </c>
      <c r="D148" s="38" t="s">
        <v>786</v>
      </c>
      <c r="E148" t="s">
        <v>788</v>
      </c>
      <c r="F148" t="s">
        <v>796</v>
      </c>
      <c r="G148" s="38" t="s">
        <v>947</v>
      </c>
      <c r="H148" s="19">
        <v>1413.65</v>
      </c>
      <c r="I148" s="19">
        <v>1326.3100000000002</v>
      </c>
      <c r="J148">
        <v>3</v>
      </c>
      <c r="K148">
        <v>0.2</v>
      </c>
      <c r="L148" s="19">
        <v>87.34</v>
      </c>
      <c r="M148" t="s">
        <v>1291</v>
      </c>
    </row>
    <row r="149" spans="1:13" x14ac:dyDescent="0.3">
      <c r="A149" t="s">
        <v>158</v>
      </c>
      <c r="B149" s="2" t="s">
        <v>632</v>
      </c>
      <c r="C149" s="2" t="s">
        <v>1345</v>
      </c>
      <c r="D149" s="38" t="s">
        <v>785</v>
      </c>
      <c r="E149" t="s">
        <v>789</v>
      </c>
      <c r="F149" t="s">
        <v>799</v>
      </c>
      <c r="G149" s="38" t="s">
        <v>948</v>
      </c>
      <c r="H149" s="19">
        <v>86.34</v>
      </c>
      <c r="I149" s="19">
        <v>84.48</v>
      </c>
      <c r="J149">
        <v>8</v>
      </c>
      <c r="K149">
        <v>0.2</v>
      </c>
      <c r="L149" s="19">
        <v>1.86</v>
      </c>
      <c r="M149" t="s">
        <v>1289</v>
      </c>
    </row>
    <row r="150" spans="1:13" x14ac:dyDescent="0.3">
      <c r="A150" t="s">
        <v>159</v>
      </c>
      <c r="B150" s="2" t="s">
        <v>519</v>
      </c>
      <c r="C150" s="2" t="s">
        <v>1351</v>
      </c>
      <c r="D150" s="38" t="s">
        <v>786</v>
      </c>
      <c r="E150" t="s">
        <v>789</v>
      </c>
      <c r="F150" t="s">
        <v>794</v>
      </c>
      <c r="G150" s="38" t="s">
        <v>949</v>
      </c>
      <c r="H150" s="19">
        <v>1359.7</v>
      </c>
      <c r="I150" s="19">
        <v>1396.46</v>
      </c>
      <c r="J150">
        <v>7</v>
      </c>
      <c r="K150">
        <v>0.2</v>
      </c>
      <c r="L150" s="19">
        <v>-36.76</v>
      </c>
      <c r="M150" t="s">
        <v>1289</v>
      </c>
    </row>
    <row r="151" spans="1:13" x14ac:dyDescent="0.3">
      <c r="A151" t="s">
        <v>160</v>
      </c>
      <c r="B151" s="2" t="s">
        <v>633</v>
      </c>
      <c r="C151" s="2" t="s">
        <v>1353</v>
      </c>
      <c r="D151" s="38" t="s">
        <v>786</v>
      </c>
      <c r="E151" t="s">
        <v>787</v>
      </c>
      <c r="F151" t="s">
        <v>792</v>
      </c>
      <c r="G151" s="38" t="s">
        <v>950</v>
      </c>
      <c r="H151" s="19">
        <v>1245.1600000000001</v>
      </c>
      <c r="I151" s="19">
        <v>1254.23</v>
      </c>
      <c r="J151">
        <v>3</v>
      </c>
      <c r="K151">
        <v>0.15</v>
      </c>
      <c r="L151" s="19">
        <v>-9.07</v>
      </c>
      <c r="M151" t="s">
        <v>1291</v>
      </c>
    </row>
    <row r="152" spans="1:13" x14ac:dyDescent="0.3">
      <c r="A152" t="s">
        <v>161</v>
      </c>
      <c r="B152" s="2" t="s">
        <v>538</v>
      </c>
      <c r="C152" s="2" t="s">
        <v>1345</v>
      </c>
      <c r="D152" s="38" t="s">
        <v>783</v>
      </c>
      <c r="E152" t="s">
        <v>789</v>
      </c>
      <c r="F152" t="s">
        <v>794</v>
      </c>
      <c r="G152" s="38" t="s">
        <v>951</v>
      </c>
      <c r="H152" s="19">
        <v>559.08000000000004</v>
      </c>
      <c r="I152" s="19">
        <v>548.99</v>
      </c>
      <c r="J152">
        <v>5</v>
      </c>
      <c r="K152">
        <v>0.1</v>
      </c>
      <c r="L152" s="19">
        <v>10.09</v>
      </c>
      <c r="M152" t="s">
        <v>1289</v>
      </c>
    </row>
    <row r="153" spans="1:13" x14ac:dyDescent="0.3">
      <c r="A153" t="s">
        <v>162</v>
      </c>
      <c r="B153" s="2" t="s">
        <v>634</v>
      </c>
      <c r="C153" s="2" t="s">
        <v>1349</v>
      </c>
      <c r="D153" s="38" t="s">
        <v>786</v>
      </c>
      <c r="E153" t="s">
        <v>789</v>
      </c>
      <c r="F153" t="s">
        <v>798</v>
      </c>
      <c r="G153" s="38" t="s">
        <v>952</v>
      </c>
      <c r="H153" s="19">
        <v>669.94</v>
      </c>
      <c r="I153" s="19">
        <v>681.29000000000008</v>
      </c>
      <c r="J153">
        <v>2</v>
      </c>
      <c r="K153">
        <v>0.1</v>
      </c>
      <c r="L153" s="19">
        <v>-11.35</v>
      </c>
      <c r="M153" t="s">
        <v>1290</v>
      </c>
    </row>
    <row r="154" spans="1:13" x14ac:dyDescent="0.3">
      <c r="A154" t="s">
        <v>163</v>
      </c>
      <c r="B154" s="2" t="s">
        <v>635</v>
      </c>
      <c r="C154" s="2" t="s">
        <v>1347</v>
      </c>
      <c r="D154" s="38" t="s">
        <v>786</v>
      </c>
      <c r="E154" t="s">
        <v>787</v>
      </c>
      <c r="F154" t="s">
        <v>801</v>
      </c>
      <c r="G154" s="38" t="s">
        <v>953</v>
      </c>
      <c r="H154" s="19">
        <v>837.33</v>
      </c>
      <c r="I154" s="19">
        <v>590.91000000000008</v>
      </c>
      <c r="J154">
        <v>5</v>
      </c>
      <c r="K154">
        <v>0</v>
      </c>
      <c r="L154" s="19">
        <v>246.42</v>
      </c>
      <c r="M154" t="s">
        <v>1291</v>
      </c>
    </row>
    <row r="155" spans="1:13" x14ac:dyDescent="0.3">
      <c r="A155" t="s">
        <v>164</v>
      </c>
      <c r="B155" s="2" t="s">
        <v>636</v>
      </c>
      <c r="C155" s="2" t="s">
        <v>1348</v>
      </c>
      <c r="D155" s="38" t="s">
        <v>785</v>
      </c>
      <c r="E155" t="s">
        <v>787</v>
      </c>
      <c r="F155" t="s">
        <v>801</v>
      </c>
      <c r="G155" s="38" t="s">
        <v>954</v>
      </c>
      <c r="H155" s="19">
        <v>1223.92</v>
      </c>
      <c r="I155" s="19">
        <v>965.7700000000001</v>
      </c>
      <c r="J155">
        <v>2</v>
      </c>
      <c r="K155">
        <v>0.05</v>
      </c>
      <c r="L155" s="19">
        <v>258.14999999999998</v>
      </c>
      <c r="M155" t="s">
        <v>1290</v>
      </c>
    </row>
    <row r="156" spans="1:13" x14ac:dyDescent="0.3">
      <c r="A156" t="s">
        <v>165</v>
      </c>
      <c r="B156" s="2" t="s">
        <v>637</v>
      </c>
      <c r="C156" s="2" t="s">
        <v>1353</v>
      </c>
      <c r="D156" s="38" t="s">
        <v>783</v>
      </c>
      <c r="E156" t="s">
        <v>789</v>
      </c>
      <c r="F156" t="s">
        <v>797</v>
      </c>
      <c r="G156" s="38" t="s">
        <v>955</v>
      </c>
      <c r="H156" s="19">
        <v>1398.31</v>
      </c>
      <c r="I156" s="19">
        <v>1556.1399999999999</v>
      </c>
      <c r="J156">
        <v>1</v>
      </c>
      <c r="K156">
        <v>0.2</v>
      </c>
      <c r="L156" s="19">
        <v>-157.83000000000001</v>
      </c>
      <c r="M156" t="s">
        <v>1290</v>
      </c>
    </row>
    <row r="157" spans="1:13" x14ac:dyDescent="0.3">
      <c r="A157" t="s">
        <v>166</v>
      </c>
      <c r="B157" s="2" t="s">
        <v>638</v>
      </c>
      <c r="C157" s="2" t="s">
        <v>1344</v>
      </c>
      <c r="D157" s="38" t="s">
        <v>785</v>
      </c>
      <c r="E157" t="s">
        <v>789</v>
      </c>
      <c r="F157" t="s">
        <v>797</v>
      </c>
      <c r="G157" s="38" t="s">
        <v>956</v>
      </c>
      <c r="H157" s="19">
        <v>1095.8</v>
      </c>
      <c r="I157" s="19">
        <v>1008.29</v>
      </c>
      <c r="J157">
        <v>7</v>
      </c>
      <c r="K157">
        <v>0.2</v>
      </c>
      <c r="L157" s="19">
        <v>87.51</v>
      </c>
      <c r="M157" t="s">
        <v>1289</v>
      </c>
    </row>
    <row r="158" spans="1:13" x14ac:dyDescent="0.3">
      <c r="A158" t="s">
        <v>167</v>
      </c>
      <c r="B158" s="2" t="s">
        <v>574</v>
      </c>
      <c r="C158" s="2" t="s">
        <v>1350</v>
      </c>
      <c r="D158" s="38" t="s">
        <v>783</v>
      </c>
      <c r="E158" t="s">
        <v>788</v>
      </c>
      <c r="F158" t="s">
        <v>796</v>
      </c>
      <c r="G158" s="38" t="s">
        <v>957</v>
      </c>
      <c r="H158" s="19">
        <v>1841.18</v>
      </c>
      <c r="I158" s="19">
        <v>1880.21</v>
      </c>
      <c r="J158">
        <v>10</v>
      </c>
      <c r="K158">
        <v>0.2</v>
      </c>
      <c r="L158" s="19">
        <v>-39.03</v>
      </c>
      <c r="M158" t="s">
        <v>1290</v>
      </c>
    </row>
    <row r="159" spans="1:13" x14ac:dyDescent="0.3">
      <c r="A159" t="s">
        <v>168</v>
      </c>
      <c r="B159" s="2" t="s">
        <v>639</v>
      </c>
      <c r="C159" s="2" t="s">
        <v>1350</v>
      </c>
      <c r="D159" s="38" t="s">
        <v>785</v>
      </c>
      <c r="E159" t="s">
        <v>788</v>
      </c>
      <c r="F159" t="s">
        <v>793</v>
      </c>
      <c r="G159" s="38" t="s">
        <v>958</v>
      </c>
      <c r="H159" s="19">
        <v>576.97</v>
      </c>
      <c r="I159" s="19">
        <v>565.08000000000004</v>
      </c>
      <c r="J159">
        <v>10</v>
      </c>
      <c r="K159">
        <v>0.1</v>
      </c>
      <c r="L159" s="19">
        <v>11.89</v>
      </c>
      <c r="M159" t="s">
        <v>1290</v>
      </c>
    </row>
    <row r="160" spans="1:13" x14ac:dyDescent="0.3">
      <c r="A160" t="s">
        <v>169</v>
      </c>
      <c r="B160" s="2" t="s">
        <v>547</v>
      </c>
      <c r="C160" s="2" t="s">
        <v>1349</v>
      </c>
      <c r="D160" s="38" t="s">
        <v>783</v>
      </c>
      <c r="E160" t="s">
        <v>788</v>
      </c>
      <c r="F160" t="s">
        <v>791</v>
      </c>
      <c r="G160" s="38" t="s">
        <v>959</v>
      </c>
      <c r="H160" s="19">
        <v>602.12</v>
      </c>
      <c r="I160" s="19">
        <v>515.16</v>
      </c>
      <c r="J160">
        <v>5</v>
      </c>
      <c r="K160">
        <v>0.15</v>
      </c>
      <c r="L160" s="19">
        <v>86.96</v>
      </c>
      <c r="M160" t="s">
        <v>1291</v>
      </c>
    </row>
    <row r="161" spans="1:13" x14ac:dyDescent="0.3">
      <c r="A161" t="s">
        <v>170</v>
      </c>
      <c r="B161" s="2" t="s">
        <v>640</v>
      </c>
      <c r="C161" s="2" t="s">
        <v>1346</v>
      </c>
      <c r="D161" s="38" t="s">
        <v>785</v>
      </c>
      <c r="E161" t="s">
        <v>787</v>
      </c>
      <c r="F161" t="s">
        <v>792</v>
      </c>
      <c r="G161" s="38" t="s">
        <v>960</v>
      </c>
      <c r="H161" s="19">
        <v>925.2</v>
      </c>
      <c r="I161" s="19">
        <v>765.36</v>
      </c>
      <c r="J161">
        <v>1</v>
      </c>
      <c r="K161">
        <v>0</v>
      </c>
      <c r="L161" s="19">
        <v>159.84</v>
      </c>
      <c r="M161" t="s">
        <v>1291</v>
      </c>
    </row>
    <row r="162" spans="1:13" x14ac:dyDescent="0.3">
      <c r="A162" t="s">
        <v>171</v>
      </c>
      <c r="B162" s="2" t="s">
        <v>564</v>
      </c>
      <c r="C162" s="2" t="s">
        <v>1344</v>
      </c>
      <c r="D162" s="38" t="s">
        <v>786</v>
      </c>
      <c r="E162" t="s">
        <v>789</v>
      </c>
      <c r="F162" t="s">
        <v>797</v>
      </c>
      <c r="G162" s="38" t="s">
        <v>961</v>
      </c>
      <c r="H162" s="19">
        <v>1310.7</v>
      </c>
      <c r="I162" s="19">
        <v>1361.5900000000001</v>
      </c>
      <c r="J162">
        <v>8</v>
      </c>
      <c r="K162">
        <v>0.2</v>
      </c>
      <c r="L162" s="19">
        <v>-50.89</v>
      </c>
      <c r="M162" t="s">
        <v>1291</v>
      </c>
    </row>
    <row r="163" spans="1:13" x14ac:dyDescent="0.3">
      <c r="A163" t="s">
        <v>172</v>
      </c>
      <c r="B163" s="2" t="s">
        <v>632</v>
      </c>
      <c r="C163" s="2" t="s">
        <v>1345</v>
      </c>
      <c r="D163" s="38" t="s">
        <v>786</v>
      </c>
      <c r="E163" t="s">
        <v>789</v>
      </c>
      <c r="F163" t="s">
        <v>797</v>
      </c>
      <c r="G163" s="38" t="s">
        <v>962</v>
      </c>
      <c r="H163" s="19">
        <v>93.74</v>
      </c>
      <c r="I163" s="19">
        <v>97.35</v>
      </c>
      <c r="J163">
        <v>5</v>
      </c>
      <c r="K163">
        <v>0.1</v>
      </c>
      <c r="L163" s="19">
        <v>-3.61</v>
      </c>
      <c r="M163" t="s">
        <v>1290</v>
      </c>
    </row>
    <row r="164" spans="1:13" x14ac:dyDescent="0.3">
      <c r="A164" t="s">
        <v>173</v>
      </c>
      <c r="B164" s="2" t="s">
        <v>641</v>
      </c>
      <c r="C164" s="2" t="s">
        <v>1343</v>
      </c>
      <c r="D164" s="38" t="s">
        <v>784</v>
      </c>
      <c r="E164" t="s">
        <v>789</v>
      </c>
      <c r="F164" t="s">
        <v>799</v>
      </c>
      <c r="G164" s="38" t="s">
        <v>963</v>
      </c>
      <c r="H164" s="19">
        <v>587.46</v>
      </c>
      <c r="I164" s="19">
        <v>520.99</v>
      </c>
      <c r="J164">
        <v>5</v>
      </c>
      <c r="K164">
        <v>0.1</v>
      </c>
      <c r="L164" s="19">
        <v>66.47</v>
      </c>
      <c r="M164" t="s">
        <v>1291</v>
      </c>
    </row>
    <row r="165" spans="1:13" x14ac:dyDescent="0.3">
      <c r="A165" t="s">
        <v>174</v>
      </c>
      <c r="B165" s="2" t="s">
        <v>642</v>
      </c>
      <c r="C165" s="2" t="s">
        <v>1349</v>
      </c>
      <c r="D165" s="38" t="s">
        <v>785</v>
      </c>
      <c r="E165" t="s">
        <v>787</v>
      </c>
      <c r="F165" t="s">
        <v>801</v>
      </c>
      <c r="G165" s="38" t="s">
        <v>964</v>
      </c>
      <c r="H165" s="19">
        <v>733.44</v>
      </c>
      <c r="I165" s="19">
        <v>725.74</v>
      </c>
      <c r="J165">
        <v>6</v>
      </c>
      <c r="K165">
        <v>0.1</v>
      </c>
      <c r="L165" s="19">
        <v>7.7</v>
      </c>
      <c r="M165" t="s">
        <v>1289</v>
      </c>
    </row>
    <row r="166" spans="1:13" x14ac:dyDescent="0.3">
      <c r="A166" t="s">
        <v>175</v>
      </c>
      <c r="B166" s="2" t="s">
        <v>638</v>
      </c>
      <c r="C166" s="2" t="s">
        <v>1344</v>
      </c>
      <c r="D166" s="38" t="s">
        <v>785</v>
      </c>
      <c r="E166" t="s">
        <v>788</v>
      </c>
      <c r="F166" t="s">
        <v>796</v>
      </c>
      <c r="G166" s="38" t="s">
        <v>965</v>
      </c>
      <c r="H166" s="19">
        <v>689.41</v>
      </c>
      <c r="I166" s="19">
        <v>653.59999999999991</v>
      </c>
      <c r="J166">
        <v>3</v>
      </c>
      <c r="K166">
        <v>0.1</v>
      </c>
      <c r="L166" s="19">
        <v>35.81</v>
      </c>
      <c r="M166" t="s">
        <v>1289</v>
      </c>
    </row>
    <row r="167" spans="1:13" x14ac:dyDescent="0.3">
      <c r="A167" t="s">
        <v>176</v>
      </c>
      <c r="B167" s="2" t="s">
        <v>643</v>
      </c>
      <c r="C167" s="2" t="s">
        <v>1353</v>
      </c>
      <c r="D167" s="38" t="s">
        <v>784</v>
      </c>
      <c r="E167" t="s">
        <v>789</v>
      </c>
      <c r="F167" t="s">
        <v>798</v>
      </c>
      <c r="G167" s="38" t="s">
        <v>966</v>
      </c>
      <c r="H167" s="19">
        <v>356.11</v>
      </c>
      <c r="I167" s="19">
        <v>384.44</v>
      </c>
      <c r="J167">
        <v>8</v>
      </c>
      <c r="K167">
        <v>0.2</v>
      </c>
      <c r="L167" s="19">
        <v>-28.33</v>
      </c>
      <c r="M167" t="s">
        <v>1291</v>
      </c>
    </row>
    <row r="168" spans="1:13" x14ac:dyDescent="0.3">
      <c r="A168" t="s">
        <v>177</v>
      </c>
      <c r="B168" s="2" t="s">
        <v>644</v>
      </c>
      <c r="C168" s="2" t="s">
        <v>1347</v>
      </c>
      <c r="D168" s="38" t="s">
        <v>783</v>
      </c>
      <c r="E168" t="s">
        <v>788</v>
      </c>
      <c r="F168" t="s">
        <v>791</v>
      </c>
      <c r="G168" s="38" t="s">
        <v>967</v>
      </c>
      <c r="H168" s="19">
        <v>1017.65</v>
      </c>
      <c r="I168" s="19">
        <v>1043.43</v>
      </c>
      <c r="J168">
        <v>3</v>
      </c>
      <c r="K168">
        <v>0.15</v>
      </c>
      <c r="L168" s="19">
        <v>-25.78</v>
      </c>
      <c r="M168" t="s">
        <v>1290</v>
      </c>
    </row>
    <row r="169" spans="1:13" x14ac:dyDescent="0.3">
      <c r="A169" t="s">
        <v>178</v>
      </c>
      <c r="B169" s="2" t="s">
        <v>645</v>
      </c>
      <c r="C169" s="2" t="s">
        <v>1352</v>
      </c>
      <c r="D169" s="38" t="s">
        <v>786</v>
      </c>
      <c r="E169" t="s">
        <v>787</v>
      </c>
      <c r="F169" t="s">
        <v>792</v>
      </c>
      <c r="G169" s="38" t="s">
        <v>968</v>
      </c>
      <c r="H169" s="19">
        <v>407.87</v>
      </c>
      <c r="I169" s="19">
        <v>394.97</v>
      </c>
      <c r="J169">
        <v>5</v>
      </c>
      <c r="K169">
        <v>0.2</v>
      </c>
      <c r="L169" s="19">
        <v>12.9</v>
      </c>
      <c r="M169" t="s">
        <v>1291</v>
      </c>
    </row>
    <row r="170" spans="1:13" x14ac:dyDescent="0.3">
      <c r="A170" t="s">
        <v>179</v>
      </c>
      <c r="B170" s="2" t="s">
        <v>646</v>
      </c>
      <c r="C170" s="2" t="s">
        <v>1353</v>
      </c>
      <c r="D170" s="38" t="s">
        <v>786</v>
      </c>
      <c r="E170" t="s">
        <v>788</v>
      </c>
      <c r="F170" t="s">
        <v>793</v>
      </c>
      <c r="G170" s="38" t="s">
        <v>969</v>
      </c>
      <c r="H170" s="19">
        <v>156.5</v>
      </c>
      <c r="I170" s="19">
        <v>148.38999999999999</v>
      </c>
      <c r="J170">
        <v>10</v>
      </c>
      <c r="K170">
        <v>0.05</v>
      </c>
      <c r="L170" s="19">
        <v>8.11</v>
      </c>
      <c r="M170" t="s">
        <v>1290</v>
      </c>
    </row>
    <row r="171" spans="1:13" x14ac:dyDescent="0.3">
      <c r="A171" t="s">
        <v>180</v>
      </c>
      <c r="B171" s="2" t="s">
        <v>609</v>
      </c>
      <c r="C171" s="2" t="s">
        <v>1354</v>
      </c>
      <c r="D171" s="38" t="s">
        <v>783</v>
      </c>
      <c r="E171" t="s">
        <v>788</v>
      </c>
      <c r="F171" t="s">
        <v>793</v>
      </c>
      <c r="G171" s="38" t="s">
        <v>970</v>
      </c>
      <c r="H171" s="19">
        <v>800.7</v>
      </c>
      <c r="I171" s="19">
        <v>776.96</v>
      </c>
      <c r="J171">
        <v>3</v>
      </c>
      <c r="K171">
        <v>0.05</v>
      </c>
      <c r="L171" s="19">
        <v>23.74</v>
      </c>
      <c r="M171" t="s">
        <v>1289</v>
      </c>
    </row>
    <row r="172" spans="1:13" x14ac:dyDescent="0.3">
      <c r="A172" t="s">
        <v>181</v>
      </c>
      <c r="B172" s="2" t="s">
        <v>647</v>
      </c>
      <c r="C172" s="2" t="s">
        <v>1348</v>
      </c>
      <c r="D172" s="38" t="s">
        <v>785</v>
      </c>
      <c r="E172" t="s">
        <v>789</v>
      </c>
      <c r="F172" t="s">
        <v>794</v>
      </c>
      <c r="G172" s="38" t="s">
        <v>971</v>
      </c>
      <c r="H172" s="19">
        <v>778.01</v>
      </c>
      <c r="I172" s="19">
        <v>833.29</v>
      </c>
      <c r="J172">
        <v>3</v>
      </c>
      <c r="K172">
        <v>0.2</v>
      </c>
      <c r="L172" s="19">
        <v>-55.28</v>
      </c>
      <c r="M172" t="s">
        <v>1290</v>
      </c>
    </row>
    <row r="173" spans="1:13" x14ac:dyDescent="0.3">
      <c r="A173" t="s">
        <v>182</v>
      </c>
      <c r="B173" s="2" t="s">
        <v>648</v>
      </c>
      <c r="C173" s="2" t="s">
        <v>1345</v>
      </c>
      <c r="D173" s="38" t="s">
        <v>785</v>
      </c>
      <c r="E173" t="s">
        <v>788</v>
      </c>
      <c r="F173" t="s">
        <v>796</v>
      </c>
      <c r="G173" s="38" t="s">
        <v>972</v>
      </c>
      <c r="H173" s="19">
        <v>476.17</v>
      </c>
      <c r="I173" s="19">
        <v>414.59000000000003</v>
      </c>
      <c r="J173">
        <v>5</v>
      </c>
      <c r="K173">
        <v>0.15</v>
      </c>
      <c r="L173" s="19">
        <v>61.58</v>
      </c>
      <c r="M173" t="s">
        <v>1291</v>
      </c>
    </row>
    <row r="174" spans="1:13" x14ac:dyDescent="0.3">
      <c r="A174" t="s">
        <v>183</v>
      </c>
      <c r="B174" s="2" t="s">
        <v>649</v>
      </c>
      <c r="C174" s="2" t="s">
        <v>1353</v>
      </c>
      <c r="D174" s="38" t="s">
        <v>785</v>
      </c>
      <c r="E174" t="s">
        <v>789</v>
      </c>
      <c r="F174" t="s">
        <v>799</v>
      </c>
      <c r="G174" s="38" t="s">
        <v>973</v>
      </c>
      <c r="H174" s="19">
        <v>215.93</v>
      </c>
      <c r="I174" s="19">
        <v>175.64000000000001</v>
      </c>
      <c r="J174">
        <v>6</v>
      </c>
      <c r="K174">
        <v>0.05</v>
      </c>
      <c r="L174" s="19">
        <v>40.29</v>
      </c>
      <c r="M174" t="s">
        <v>1291</v>
      </c>
    </row>
    <row r="175" spans="1:13" x14ac:dyDescent="0.3">
      <c r="A175" t="s">
        <v>184</v>
      </c>
      <c r="B175" s="2" t="s">
        <v>650</v>
      </c>
      <c r="C175" s="2" t="s">
        <v>1345</v>
      </c>
      <c r="D175" s="38" t="s">
        <v>783</v>
      </c>
      <c r="E175" t="s">
        <v>787</v>
      </c>
      <c r="F175" t="s">
        <v>800</v>
      </c>
      <c r="G175" s="38" t="s">
        <v>974</v>
      </c>
      <c r="H175" s="19">
        <v>1046.21</v>
      </c>
      <c r="I175" s="19">
        <v>930.17000000000007</v>
      </c>
      <c r="J175">
        <v>4</v>
      </c>
      <c r="K175">
        <v>0.1</v>
      </c>
      <c r="L175" s="19">
        <v>116.04</v>
      </c>
      <c r="M175" t="s">
        <v>1290</v>
      </c>
    </row>
    <row r="176" spans="1:13" x14ac:dyDescent="0.3">
      <c r="A176" t="s">
        <v>185</v>
      </c>
      <c r="B176" s="2" t="s">
        <v>651</v>
      </c>
      <c r="C176" s="2" t="s">
        <v>1351</v>
      </c>
      <c r="D176" s="38" t="s">
        <v>784</v>
      </c>
      <c r="E176" t="s">
        <v>787</v>
      </c>
      <c r="F176" t="s">
        <v>801</v>
      </c>
      <c r="G176" s="38" t="s">
        <v>975</v>
      </c>
      <c r="H176" s="19">
        <v>1969.98</v>
      </c>
      <c r="I176" s="19">
        <v>1981.35</v>
      </c>
      <c r="J176">
        <v>8</v>
      </c>
      <c r="K176">
        <v>0.1</v>
      </c>
      <c r="L176" s="19">
        <v>-11.37</v>
      </c>
      <c r="M176" t="s">
        <v>1289</v>
      </c>
    </row>
    <row r="177" spans="1:13" x14ac:dyDescent="0.3">
      <c r="A177" t="s">
        <v>186</v>
      </c>
      <c r="B177" s="2" t="s">
        <v>652</v>
      </c>
      <c r="C177" s="2" t="s">
        <v>1353</v>
      </c>
      <c r="D177" s="38" t="s">
        <v>784</v>
      </c>
      <c r="E177" t="s">
        <v>789</v>
      </c>
      <c r="F177" t="s">
        <v>799</v>
      </c>
      <c r="G177" s="38" t="s">
        <v>976</v>
      </c>
      <c r="H177" s="19">
        <v>294.11</v>
      </c>
      <c r="I177" s="19">
        <v>324.69</v>
      </c>
      <c r="J177">
        <v>6</v>
      </c>
      <c r="K177">
        <v>0.2</v>
      </c>
      <c r="L177" s="19">
        <v>-30.58</v>
      </c>
      <c r="M177" t="s">
        <v>1289</v>
      </c>
    </row>
    <row r="178" spans="1:13" x14ac:dyDescent="0.3">
      <c r="A178" t="s">
        <v>187</v>
      </c>
      <c r="B178" s="2" t="s">
        <v>592</v>
      </c>
      <c r="C178" s="2" t="s">
        <v>1348</v>
      </c>
      <c r="D178" s="38" t="s">
        <v>785</v>
      </c>
      <c r="E178" t="s">
        <v>787</v>
      </c>
      <c r="F178" t="s">
        <v>801</v>
      </c>
      <c r="G178" s="38" t="s">
        <v>977</v>
      </c>
      <c r="H178" s="19">
        <v>1377.61</v>
      </c>
      <c r="I178" s="19">
        <v>1124.3599999999999</v>
      </c>
      <c r="J178">
        <v>7</v>
      </c>
      <c r="K178">
        <v>0</v>
      </c>
      <c r="L178" s="19">
        <v>253.25</v>
      </c>
      <c r="M178" t="s">
        <v>1289</v>
      </c>
    </row>
    <row r="179" spans="1:13" x14ac:dyDescent="0.3">
      <c r="A179" t="s">
        <v>188</v>
      </c>
      <c r="B179" s="2" t="s">
        <v>653</v>
      </c>
      <c r="C179" s="2" t="s">
        <v>1353</v>
      </c>
      <c r="D179" s="38" t="s">
        <v>785</v>
      </c>
      <c r="E179" t="s">
        <v>789</v>
      </c>
      <c r="F179" t="s">
        <v>798</v>
      </c>
      <c r="G179" s="38" t="s">
        <v>978</v>
      </c>
      <c r="H179" s="19">
        <v>790.02</v>
      </c>
      <c r="I179" s="19">
        <v>721.04</v>
      </c>
      <c r="J179">
        <v>6</v>
      </c>
      <c r="K179">
        <v>0.05</v>
      </c>
      <c r="L179" s="19">
        <v>68.98</v>
      </c>
      <c r="M179" t="s">
        <v>1289</v>
      </c>
    </row>
    <row r="180" spans="1:13" x14ac:dyDescent="0.3">
      <c r="A180" t="s">
        <v>189</v>
      </c>
      <c r="B180" s="2" t="s">
        <v>543</v>
      </c>
      <c r="C180" s="2" t="s">
        <v>1343</v>
      </c>
      <c r="D180" s="38" t="s">
        <v>786</v>
      </c>
      <c r="E180" t="s">
        <v>787</v>
      </c>
      <c r="F180" t="s">
        <v>790</v>
      </c>
      <c r="G180" s="38" t="s">
        <v>979</v>
      </c>
      <c r="H180" s="19">
        <v>984.04</v>
      </c>
      <c r="I180" s="19">
        <v>840.01</v>
      </c>
      <c r="J180">
        <v>3</v>
      </c>
      <c r="K180">
        <v>0.15</v>
      </c>
      <c r="L180" s="19">
        <v>144.03</v>
      </c>
      <c r="M180" t="s">
        <v>1290</v>
      </c>
    </row>
    <row r="181" spans="1:13" x14ac:dyDescent="0.3">
      <c r="A181" t="s">
        <v>190</v>
      </c>
      <c r="B181" s="2" t="s">
        <v>654</v>
      </c>
      <c r="C181" s="2" t="s">
        <v>1350</v>
      </c>
      <c r="D181" s="38" t="s">
        <v>784</v>
      </c>
      <c r="E181" t="s">
        <v>789</v>
      </c>
      <c r="F181" t="s">
        <v>794</v>
      </c>
      <c r="G181" s="38" t="s">
        <v>980</v>
      </c>
      <c r="H181" s="19">
        <v>1548.45</v>
      </c>
      <c r="I181" s="19">
        <v>1335.5</v>
      </c>
      <c r="J181">
        <v>10</v>
      </c>
      <c r="K181">
        <v>0</v>
      </c>
      <c r="L181" s="19">
        <v>212.95</v>
      </c>
      <c r="M181" t="s">
        <v>1290</v>
      </c>
    </row>
    <row r="182" spans="1:13" x14ac:dyDescent="0.3">
      <c r="A182" t="s">
        <v>191</v>
      </c>
      <c r="B182" s="2" t="s">
        <v>655</v>
      </c>
      <c r="C182" s="2" t="s">
        <v>1344</v>
      </c>
      <c r="D182" s="38" t="s">
        <v>785</v>
      </c>
      <c r="E182" t="s">
        <v>788</v>
      </c>
      <c r="F182" t="s">
        <v>791</v>
      </c>
      <c r="G182" s="38" t="s">
        <v>981</v>
      </c>
      <c r="H182" s="19">
        <v>1538.77</v>
      </c>
      <c r="I182" s="19">
        <v>1377.4</v>
      </c>
      <c r="J182">
        <v>3</v>
      </c>
      <c r="K182">
        <v>0</v>
      </c>
      <c r="L182" s="19">
        <v>161.37</v>
      </c>
      <c r="M182" t="s">
        <v>1291</v>
      </c>
    </row>
    <row r="183" spans="1:13" x14ac:dyDescent="0.3">
      <c r="A183" t="s">
        <v>192</v>
      </c>
      <c r="B183" s="2" t="s">
        <v>656</v>
      </c>
      <c r="C183" s="2" t="s">
        <v>1353</v>
      </c>
      <c r="D183" s="38" t="s">
        <v>786</v>
      </c>
      <c r="E183" t="s">
        <v>789</v>
      </c>
      <c r="F183" t="s">
        <v>797</v>
      </c>
      <c r="G183" s="38" t="s">
        <v>982</v>
      </c>
      <c r="H183" s="19">
        <v>1173.51</v>
      </c>
      <c r="I183" s="19">
        <v>1160.3699999999999</v>
      </c>
      <c r="J183">
        <v>4</v>
      </c>
      <c r="K183">
        <v>0.15</v>
      </c>
      <c r="L183" s="19">
        <v>13.14</v>
      </c>
      <c r="M183" t="s">
        <v>1289</v>
      </c>
    </row>
    <row r="184" spans="1:13" x14ac:dyDescent="0.3">
      <c r="A184" t="s">
        <v>193</v>
      </c>
      <c r="B184" s="2" t="s">
        <v>657</v>
      </c>
      <c r="C184" s="2" t="s">
        <v>1354</v>
      </c>
      <c r="D184" s="38" t="s">
        <v>784</v>
      </c>
      <c r="E184" t="s">
        <v>787</v>
      </c>
      <c r="F184" t="s">
        <v>790</v>
      </c>
      <c r="G184" s="38" t="s">
        <v>983</v>
      </c>
      <c r="H184" s="19">
        <v>407.98</v>
      </c>
      <c r="I184" s="19">
        <v>315.52000000000004</v>
      </c>
      <c r="J184">
        <v>8</v>
      </c>
      <c r="K184">
        <v>0</v>
      </c>
      <c r="L184" s="19">
        <v>92.46</v>
      </c>
      <c r="M184" t="s">
        <v>1289</v>
      </c>
    </row>
    <row r="185" spans="1:13" x14ac:dyDescent="0.3">
      <c r="A185" t="s">
        <v>194</v>
      </c>
      <c r="B185" s="2" t="s">
        <v>571</v>
      </c>
      <c r="C185" s="2" t="s">
        <v>1353</v>
      </c>
      <c r="D185" s="38" t="s">
        <v>784</v>
      </c>
      <c r="E185" t="s">
        <v>788</v>
      </c>
      <c r="F185" t="s">
        <v>795</v>
      </c>
      <c r="G185" s="38" t="s">
        <v>984</v>
      </c>
      <c r="H185" s="19">
        <v>853.64</v>
      </c>
      <c r="I185" s="19">
        <v>906.5</v>
      </c>
      <c r="J185">
        <v>8</v>
      </c>
      <c r="K185">
        <v>0.15</v>
      </c>
      <c r="L185" s="19">
        <v>-52.86</v>
      </c>
      <c r="M185" t="s">
        <v>1291</v>
      </c>
    </row>
    <row r="186" spans="1:13" x14ac:dyDescent="0.3">
      <c r="A186" t="s">
        <v>195</v>
      </c>
      <c r="B186" s="2" t="s">
        <v>658</v>
      </c>
      <c r="C186" s="2" t="s">
        <v>1347</v>
      </c>
      <c r="D186" s="38" t="s">
        <v>784</v>
      </c>
      <c r="E186" t="s">
        <v>789</v>
      </c>
      <c r="F186" t="s">
        <v>799</v>
      </c>
      <c r="G186" s="38" t="s">
        <v>985</v>
      </c>
      <c r="H186" s="19">
        <v>596.01</v>
      </c>
      <c r="I186" s="19">
        <v>544.43999999999994</v>
      </c>
      <c r="J186">
        <v>6</v>
      </c>
      <c r="K186">
        <v>0</v>
      </c>
      <c r="L186" s="19">
        <v>51.57</v>
      </c>
      <c r="M186" t="s">
        <v>1291</v>
      </c>
    </row>
    <row r="187" spans="1:13" x14ac:dyDescent="0.3">
      <c r="A187" t="s">
        <v>196</v>
      </c>
      <c r="B187" s="2" t="s">
        <v>659</v>
      </c>
      <c r="C187" s="2" t="s">
        <v>1346</v>
      </c>
      <c r="D187" s="38" t="s">
        <v>783</v>
      </c>
      <c r="E187" t="s">
        <v>789</v>
      </c>
      <c r="F187" t="s">
        <v>799</v>
      </c>
      <c r="G187" s="38" t="s">
        <v>986</v>
      </c>
      <c r="H187" s="19">
        <v>1776.37</v>
      </c>
      <c r="I187" s="19">
        <v>1804.4599999999998</v>
      </c>
      <c r="J187">
        <v>8</v>
      </c>
      <c r="K187">
        <v>0.15</v>
      </c>
      <c r="L187" s="19">
        <v>-28.09</v>
      </c>
      <c r="M187" t="s">
        <v>1291</v>
      </c>
    </row>
    <row r="188" spans="1:13" x14ac:dyDescent="0.3">
      <c r="A188" t="s">
        <v>197</v>
      </c>
      <c r="B188" s="2" t="s">
        <v>660</v>
      </c>
      <c r="C188" s="2" t="s">
        <v>1353</v>
      </c>
      <c r="D188" s="38" t="s">
        <v>785</v>
      </c>
      <c r="E188" t="s">
        <v>787</v>
      </c>
      <c r="F188" t="s">
        <v>792</v>
      </c>
      <c r="G188" s="38" t="s">
        <v>987</v>
      </c>
      <c r="H188" s="19">
        <v>428.92</v>
      </c>
      <c r="I188" s="19">
        <v>389.79</v>
      </c>
      <c r="J188">
        <v>4</v>
      </c>
      <c r="K188">
        <v>0.05</v>
      </c>
      <c r="L188" s="19">
        <v>39.130000000000003</v>
      </c>
      <c r="M188" t="s">
        <v>1289</v>
      </c>
    </row>
    <row r="189" spans="1:13" x14ac:dyDescent="0.3">
      <c r="A189" t="s">
        <v>198</v>
      </c>
      <c r="B189" s="2" t="s">
        <v>571</v>
      </c>
      <c r="C189" s="2" t="s">
        <v>1353</v>
      </c>
      <c r="D189" s="38" t="s">
        <v>786</v>
      </c>
      <c r="E189" t="s">
        <v>788</v>
      </c>
      <c r="F189" t="s">
        <v>791</v>
      </c>
      <c r="G189" s="38" t="s">
        <v>988</v>
      </c>
      <c r="H189" s="19">
        <v>1037.83</v>
      </c>
      <c r="I189" s="19">
        <v>889.43999999999994</v>
      </c>
      <c r="J189">
        <v>4</v>
      </c>
      <c r="K189">
        <v>0.1</v>
      </c>
      <c r="L189" s="19">
        <v>148.38999999999999</v>
      </c>
      <c r="M189" t="s">
        <v>1289</v>
      </c>
    </row>
    <row r="190" spans="1:13" x14ac:dyDescent="0.3">
      <c r="A190" t="s">
        <v>199</v>
      </c>
      <c r="B190" s="2" t="s">
        <v>661</v>
      </c>
      <c r="C190" s="2" t="s">
        <v>1352</v>
      </c>
      <c r="D190" s="38" t="s">
        <v>785</v>
      </c>
      <c r="E190" t="s">
        <v>788</v>
      </c>
      <c r="F190" t="s">
        <v>796</v>
      </c>
      <c r="G190" s="38" t="s">
        <v>989</v>
      </c>
      <c r="H190" s="19">
        <v>1841.02</v>
      </c>
      <c r="I190" s="19">
        <v>1415.67</v>
      </c>
      <c r="J190">
        <v>10</v>
      </c>
      <c r="K190">
        <v>0</v>
      </c>
      <c r="L190" s="19">
        <v>425.35</v>
      </c>
      <c r="M190" t="s">
        <v>1291</v>
      </c>
    </row>
    <row r="191" spans="1:13" x14ac:dyDescent="0.3">
      <c r="A191" t="s">
        <v>200</v>
      </c>
      <c r="B191" s="2" t="s">
        <v>662</v>
      </c>
      <c r="C191" s="2" t="s">
        <v>1349</v>
      </c>
      <c r="D191" s="38" t="s">
        <v>783</v>
      </c>
      <c r="E191" t="s">
        <v>787</v>
      </c>
      <c r="F191" t="s">
        <v>792</v>
      </c>
      <c r="G191" s="38" t="s">
        <v>990</v>
      </c>
      <c r="H191" s="19">
        <v>375.46</v>
      </c>
      <c r="I191" s="19">
        <v>345.03999999999996</v>
      </c>
      <c r="J191">
        <v>6</v>
      </c>
      <c r="K191">
        <v>0</v>
      </c>
      <c r="L191" s="19">
        <v>30.42</v>
      </c>
      <c r="M191" t="s">
        <v>1291</v>
      </c>
    </row>
    <row r="192" spans="1:13" x14ac:dyDescent="0.3">
      <c r="A192" t="s">
        <v>201</v>
      </c>
      <c r="B192" s="2" t="s">
        <v>572</v>
      </c>
      <c r="C192" s="2" t="s">
        <v>1345</v>
      </c>
      <c r="D192" s="38" t="s">
        <v>784</v>
      </c>
      <c r="E192" t="s">
        <v>787</v>
      </c>
      <c r="F192" t="s">
        <v>792</v>
      </c>
      <c r="G192" s="38" t="s">
        <v>991</v>
      </c>
      <c r="H192" s="19">
        <v>201.04</v>
      </c>
      <c r="I192" s="19">
        <v>222.03</v>
      </c>
      <c r="J192">
        <v>4</v>
      </c>
      <c r="K192">
        <v>0.2</v>
      </c>
      <c r="L192" s="19">
        <v>-20.99</v>
      </c>
      <c r="M192" t="s">
        <v>1290</v>
      </c>
    </row>
    <row r="193" spans="1:13" x14ac:dyDescent="0.3">
      <c r="A193" t="s">
        <v>202</v>
      </c>
      <c r="B193" s="2" t="s">
        <v>527</v>
      </c>
      <c r="C193" s="2" t="s">
        <v>1350</v>
      </c>
      <c r="D193" s="38" t="s">
        <v>783</v>
      </c>
      <c r="E193" t="s">
        <v>789</v>
      </c>
      <c r="F193" t="s">
        <v>797</v>
      </c>
      <c r="G193" s="38" t="s">
        <v>992</v>
      </c>
      <c r="H193" s="19">
        <v>1157.77</v>
      </c>
      <c r="I193" s="19">
        <v>1250.8</v>
      </c>
      <c r="J193">
        <v>5</v>
      </c>
      <c r="K193">
        <v>0.15</v>
      </c>
      <c r="L193" s="19">
        <v>-93.03</v>
      </c>
      <c r="M193" t="s">
        <v>1291</v>
      </c>
    </row>
    <row r="194" spans="1:13" x14ac:dyDescent="0.3">
      <c r="A194" t="s">
        <v>203</v>
      </c>
      <c r="B194" s="2" t="s">
        <v>663</v>
      </c>
      <c r="C194" s="2" t="s">
        <v>1348</v>
      </c>
      <c r="D194" s="38" t="s">
        <v>784</v>
      </c>
      <c r="E194" t="s">
        <v>787</v>
      </c>
      <c r="F194" t="s">
        <v>801</v>
      </c>
      <c r="G194" s="38" t="s">
        <v>993</v>
      </c>
      <c r="H194" s="19">
        <v>646.19000000000005</v>
      </c>
      <c r="I194" s="19">
        <v>658.09</v>
      </c>
      <c r="J194">
        <v>1</v>
      </c>
      <c r="K194">
        <v>0.15</v>
      </c>
      <c r="L194" s="19">
        <v>-11.9</v>
      </c>
      <c r="M194" t="s">
        <v>1291</v>
      </c>
    </row>
    <row r="195" spans="1:13" x14ac:dyDescent="0.3">
      <c r="A195" t="s">
        <v>204</v>
      </c>
      <c r="B195" s="2" t="s">
        <v>664</v>
      </c>
      <c r="C195" s="2" t="s">
        <v>1349</v>
      </c>
      <c r="D195" s="38" t="s">
        <v>783</v>
      </c>
      <c r="E195" t="s">
        <v>788</v>
      </c>
      <c r="F195" t="s">
        <v>796</v>
      </c>
      <c r="G195" s="38" t="s">
        <v>994</v>
      </c>
      <c r="H195" s="19">
        <v>1370.37</v>
      </c>
      <c r="I195" s="19">
        <v>1204.1599999999999</v>
      </c>
      <c r="J195">
        <v>1</v>
      </c>
      <c r="K195">
        <v>0</v>
      </c>
      <c r="L195" s="19">
        <v>166.21</v>
      </c>
      <c r="M195" t="s">
        <v>1291</v>
      </c>
    </row>
    <row r="196" spans="1:13" x14ac:dyDescent="0.3">
      <c r="A196" t="s">
        <v>205</v>
      </c>
      <c r="B196" s="2" t="s">
        <v>665</v>
      </c>
      <c r="C196" s="2" t="s">
        <v>1353</v>
      </c>
      <c r="D196" s="38" t="s">
        <v>785</v>
      </c>
      <c r="E196" t="s">
        <v>788</v>
      </c>
      <c r="F196" t="s">
        <v>795</v>
      </c>
      <c r="G196" s="38" t="s">
        <v>995</v>
      </c>
      <c r="H196" s="19">
        <v>920.7</v>
      </c>
      <c r="I196" s="19">
        <v>833.2</v>
      </c>
      <c r="J196">
        <v>8</v>
      </c>
      <c r="K196">
        <v>0.15</v>
      </c>
      <c r="L196" s="19">
        <v>87.5</v>
      </c>
      <c r="M196" t="s">
        <v>1291</v>
      </c>
    </row>
    <row r="197" spans="1:13" x14ac:dyDescent="0.3">
      <c r="A197" t="s">
        <v>206</v>
      </c>
      <c r="B197" s="2" t="s">
        <v>666</v>
      </c>
      <c r="C197" s="2" t="s">
        <v>1346</v>
      </c>
      <c r="D197" s="38" t="s">
        <v>785</v>
      </c>
      <c r="E197" t="s">
        <v>788</v>
      </c>
      <c r="F197" t="s">
        <v>793</v>
      </c>
      <c r="G197" s="38" t="s">
        <v>996</v>
      </c>
      <c r="H197" s="19">
        <v>1733.25</v>
      </c>
      <c r="I197" s="19">
        <v>1742.78</v>
      </c>
      <c r="J197">
        <v>5</v>
      </c>
      <c r="K197">
        <v>0.15</v>
      </c>
      <c r="L197" s="19">
        <v>-9.5299999999999994</v>
      </c>
      <c r="M197" t="s">
        <v>1290</v>
      </c>
    </row>
    <row r="198" spans="1:13" x14ac:dyDescent="0.3">
      <c r="A198" t="s">
        <v>207</v>
      </c>
      <c r="B198" s="2" t="s">
        <v>527</v>
      </c>
      <c r="C198" s="2" t="s">
        <v>1350</v>
      </c>
      <c r="D198" s="38" t="s">
        <v>786</v>
      </c>
      <c r="E198" t="s">
        <v>788</v>
      </c>
      <c r="F198" t="s">
        <v>793</v>
      </c>
      <c r="G198" s="38" t="s">
        <v>997</v>
      </c>
      <c r="H198" s="19">
        <v>1460.76</v>
      </c>
      <c r="I198" s="19">
        <v>1411.29</v>
      </c>
      <c r="J198">
        <v>1</v>
      </c>
      <c r="K198">
        <v>0.1</v>
      </c>
      <c r="L198" s="19">
        <v>49.47</v>
      </c>
      <c r="M198" t="s">
        <v>1290</v>
      </c>
    </row>
    <row r="199" spans="1:13" x14ac:dyDescent="0.3">
      <c r="A199" t="s">
        <v>208</v>
      </c>
      <c r="B199" s="2" t="s">
        <v>513</v>
      </c>
      <c r="C199" s="2" t="s">
        <v>1347</v>
      </c>
      <c r="D199" s="38" t="s">
        <v>786</v>
      </c>
      <c r="E199" t="s">
        <v>788</v>
      </c>
      <c r="F199" t="s">
        <v>796</v>
      </c>
      <c r="G199" s="38" t="s">
        <v>998</v>
      </c>
      <c r="H199" s="19">
        <v>228.95</v>
      </c>
      <c r="I199" s="19">
        <v>248.38</v>
      </c>
      <c r="J199">
        <v>7</v>
      </c>
      <c r="K199">
        <v>0.15</v>
      </c>
      <c r="L199" s="19">
        <v>-19.43</v>
      </c>
      <c r="M199" t="s">
        <v>1291</v>
      </c>
    </row>
    <row r="200" spans="1:13" x14ac:dyDescent="0.3">
      <c r="A200" t="s">
        <v>209</v>
      </c>
      <c r="B200" s="2" t="s">
        <v>518</v>
      </c>
      <c r="C200" s="2" t="s">
        <v>1348</v>
      </c>
      <c r="D200" s="38" t="s">
        <v>784</v>
      </c>
      <c r="E200" t="s">
        <v>787</v>
      </c>
      <c r="F200" t="s">
        <v>801</v>
      </c>
      <c r="G200" s="38" t="s">
        <v>999</v>
      </c>
      <c r="H200" s="19">
        <v>1567.59</v>
      </c>
      <c r="I200" s="19">
        <v>1470.1299999999999</v>
      </c>
      <c r="J200">
        <v>7</v>
      </c>
      <c r="K200">
        <v>0.1</v>
      </c>
      <c r="L200" s="19">
        <v>97.46</v>
      </c>
      <c r="M200" t="s">
        <v>1289</v>
      </c>
    </row>
    <row r="201" spans="1:13" x14ac:dyDescent="0.3">
      <c r="A201" t="s">
        <v>210</v>
      </c>
      <c r="B201" s="2" t="s">
        <v>667</v>
      </c>
      <c r="C201" s="2" t="s">
        <v>1352</v>
      </c>
      <c r="D201" s="38" t="s">
        <v>786</v>
      </c>
      <c r="E201" t="s">
        <v>789</v>
      </c>
      <c r="F201" t="s">
        <v>798</v>
      </c>
      <c r="G201" s="38" t="s">
        <v>1000</v>
      </c>
      <c r="H201" s="19">
        <v>667.77</v>
      </c>
      <c r="I201" s="19">
        <v>626.72</v>
      </c>
      <c r="J201">
        <v>8</v>
      </c>
      <c r="K201">
        <v>0.2</v>
      </c>
      <c r="L201" s="19">
        <v>41.05</v>
      </c>
      <c r="M201" t="s">
        <v>1290</v>
      </c>
    </row>
    <row r="202" spans="1:13" x14ac:dyDescent="0.3">
      <c r="A202" t="s">
        <v>211</v>
      </c>
      <c r="B202" s="2" t="s">
        <v>520</v>
      </c>
      <c r="C202" s="2" t="s">
        <v>1344</v>
      </c>
      <c r="D202" s="38" t="s">
        <v>785</v>
      </c>
      <c r="E202" t="s">
        <v>789</v>
      </c>
      <c r="F202" t="s">
        <v>794</v>
      </c>
      <c r="G202" s="38" t="s">
        <v>1001</v>
      </c>
      <c r="H202" s="19">
        <v>186.45</v>
      </c>
      <c r="I202" s="19">
        <v>179.97</v>
      </c>
      <c r="J202">
        <v>9</v>
      </c>
      <c r="K202">
        <v>0.15</v>
      </c>
      <c r="L202" s="19">
        <v>6.48</v>
      </c>
      <c r="M202" t="s">
        <v>1291</v>
      </c>
    </row>
    <row r="203" spans="1:13" x14ac:dyDescent="0.3">
      <c r="A203" t="s">
        <v>212</v>
      </c>
      <c r="B203" s="2" t="s">
        <v>668</v>
      </c>
      <c r="C203" s="2" t="s">
        <v>1349</v>
      </c>
      <c r="D203" s="38" t="s">
        <v>783</v>
      </c>
      <c r="E203" t="s">
        <v>787</v>
      </c>
      <c r="F203" t="s">
        <v>800</v>
      </c>
      <c r="G203" s="38" t="s">
        <v>1002</v>
      </c>
      <c r="H203" s="19">
        <v>817.28</v>
      </c>
      <c r="I203" s="19">
        <v>723.61</v>
      </c>
      <c r="J203">
        <v>7</v>
      </c>
      <c r="K203">
        <v>0.05</v>
      </c>
      <c r="L203" s="19">
        <v>93.67</v>
      </c>
      <c r="M203" t="s">
        <v>1291</v>
      </c>
    </row>
    <row r="204" spans="1:13" x14ac:dyDescent="0.3">
      <c r="A204" t="s">
        <v>213</v>
      </c>
      <c r="B204" s="2" t="s">
        <v>669</v>
      </c>
      <c r="C204" s="2" t="s">
        <v>1345</v>
      </c>
      <c r="D204" s="38" t="s">
        <v>785</v>
      </c>
      <c r="E204" t="s">
        <v>787</v>
      </c>
      <c r="F204" t="s">
        <v>801</v>
      </c>
      <c r="G204" s="38" t="s">
        <v>1003</v>
      </c>
      <c r="H204" s="19">
        <v>1911.02</v>
      </c>
      <c r="I204" s="19">
        <v>1903.25</v>
      </c>
      <c r="J204">
        <v>10</v>
      </c>
      <c r="K204">
        <v>0.1</v>
      </c>
      <c r="L204" s="19">
        <v>7.77</v>
      </c>
      <c r="M204" t="s">
        <v>1290</v>
      </c>
    </row>
    <row r="205" spans="1:13" x14ac:dyDescent="0.3">
      <c r="A205" t="s">
        <v>214</v>
      </c>
      <c r="B205" s="2" t="s">
        <v>646</v>
      </c>
      <c r="C205" s="2" t="s">
        <v>1353</v>
      </c>
      <c r="D205" s="38" t="s">
        <v>786</v>
      </c>
      <c r="E205" t="s">
        <v>789</v>
      </c>
      <c r="F205" t="s">
        <v>794</v>
      </c>
      <c r="G205" s="38" t="s">
        <v>1004</v>
      </c>
      <c r="H205" s="19">
        <v>642.91999999999996</v>
      </c>
      <c r="I205" s="19">
        <v>628.52</v>
      </c>
      <c r="J205">
        <v>6</v>
      </c>
      <c r="K205">
        <v>0.2</v>
      </c>
      <c r="L205" s="19">
        <v>14.4</v>
      </c>
      <c r="M205" t="s">
        <v>1290</v>
      </c>
    </row>
    <row r="206" spans="1:13" x14ac:dyDescent="0.3">
      <c r="A206" t="s">
        <v>215</v>
      </c>
      <c r="B206" s="2" t="s">
        <v>670</v>
      </c>
      <c r="C206" s="2" t="s">
        <v>1351</v>
      </c>
      <c r="D206" s="38" t="s">
        <v>784</v>
      </c>
      <c r="E206" t="s">
        <v>789</v>
      </c>
      <c r="F206" t="s">
        <v>799</v>
      </c>
      <c r="G206" s="38" t="s">
        <v>1005</v>
      </c>
      <c r="H206" s="19">
        <v>1280.1300000000001</v>
      </c>
      <c r="I206" s="19">
        <v>1245.99</v>
      </c>
      <c r="J206">
        <v>3</v>
      </c>
      <c r="K206">
        <v>0.15</v>
      </c>
      <c r="L206" s="19">
        <v>34.14</v>
      </c>
      <c r="M206" t="s">
        <v>1291</v>
      </c>
    </row>
    <row r="207" spans="1:13" x14ac:dyDescent="0.3">
      <c r="A207" t="s">
        <v>216</v>
      </c>
      <c r="B207" s="2" t="s">
        <v>671</v>
      </c>
      <c r="C207" s="2" t="s">
        <v>1345</v>
      </c>
      <c r="D207" s="38" t="s">
        <v>785</v>
      </c>
      <c r="E207" t="s">
        <v>788</v>
      </c>
      <c r="F207" t="s">
        <v>796</v>
      </c>
      <c r="G207" s="38" t="s">
        <v>1006</v>
      </c>
      <c r="H207" s="19">
        <v>495.66</v>
      </c>
      <c r="I207" s="19">
        <v>444.87</v>
      </c>
      <c r="J207">
        <v>4</v>
      </c>
      <c r="K207">
        <v>0.1</v>
      </c>
      <c r="L207" s="19">
        <v>50.79</v>
      </c>
      <c r="M207" t="s">
        <v>1290</v>
      </c>
    </row>
    <row r="208" spans="1:13" x14ac:dyDescent="0.3">
      <c r="A208" t="s">
        <v>217</v>
      </c>
      <c r="B208" s="2" t="s">
        <v>567</v>
      </c>
      <c r="C208" s="2" t="s">
        <v>1344</v>
      </c>
      <c r="D208" s="38" t="s">
        <v>786</v>
      </c>
      <c r="E208" t="s">
        <v>788</v>
      </c>
      <c r="F208" t="s">
        <v>793</v>
      </c>
      <c r="G208" s="38" t="s">
        <v>1007</v>
      </c>
      <c r="H208" s="19">
        <v>231.45</v>
      </c>
      <c r="I208" s="19">
        <v>239.85999999999999</v>
      </c>
      <c r="J208">
        <v>8</v>
      </c>
      <c r="K208">
        <v>0.1</v>
      </c>
      <c r="L208" s="19">
        <v>-8.41</v>
      </c>
      <c r="M208" t="s">
        <v>1291</v>
      </c>
    </row>
    <row r="209" spans="1:13" x14ac:dyDescent="0.3">
      <c r="A209" t="s">
        <v>218</v>
      </c>
      <c r="B209" s="2" t="s">
        <v>672</v>
      </c>
      <c r="C209" s="2" t="s">
        <v>1350</v>
      </c>
      <c r="D209" s="38" t="s">
        <v>786</v>
      </c>
      <c r="E209" t="s">
        <v>787</v>
      </c>
      <c r="F209" t="s">
        <v>801</v>
      </c>
      <c r="G209" s="38" t="s">
        <v>1008</v>
      </c>
      <c r="H209" s="19">
        <v>191.3</v>
      </c>
      <c r="I209" s="19">
        <v>167.95000000000002</v>
      </c>
      <c r="J209">
        <v>3</v>
      </c>
      <c r="K209">
        <v>0.15</v>
      </c>
      <c r="L209" s="19">
        <v>23.35</v>
      </c>
      <c r="M209" t="s">
        <v>1290</v>
      </c>
    </row>
    <row r="210" spans="1:13" x14ac:dyDescent="0.3">
      <c r="A210" t="s">
        <v>219</v>
      </c>
      <c r="B210" s="2" t="s">
        <v>575</v>
      </c>
      <c r="C210" s="2" t="s">
        <v>1353</v>
      </c>
      <c r="D210" s="38" t="s">
        <v>783</v>
      </c>
      <c r="E210" t="s">
        <v>789</v>
      </c>
      <c r="F210" t="s">
        <v>799</v>
      </c>
      <c r="G210" s="38" t="s">
        <v>1009</v>
      </c>
      <c r="H210" s="19">
        <v>894.73</v>
      </c>
      <c r="I210" s="19">
        <v>738.9</v>
      </c>
      <c r="J210">
        <v>9</v>
      </c>
      <c r="K210">
        <v>0</v>
      </c>
      <c r="L210" s="19">
        <v>155.83000000000001</v>
      </c>
      <c r="M210" t="s">
        <v>1289</v>
      </c>
    </row>
    <row r="211" spans="1:13" x14ac:dyDescent="0.3">
      <c r="A211" t="s">
        <v>220</v>
      </c>
      <c r="B211" s="2" t="s">
        <v>578</v>
      </c>
      <c r="C211" s="2" t="s">
        <v>1350</v>
      </c>
      <c r="D211" s="38" t="s">
        <v>783</v>
      </c>
      <c r="E211" t="s">
        <v>787</v>
      </c>
      <c r="F211" t="s">
        <v>801</v>
      </c>
      <c r="G211" s="38" t="s">
        <v>1010</v>
      </c>
      <c r="H211" s="19">
        <v>992.71</v>
      </c>
      <c r="I211" s="19">
        <v>918.1</v>
      </c>
      <c r="J211">
        <v>1</v>
      </c>
      <c r="K211">
        <v>0.1</v>
      </c>
      <c r="L211" s="19">
        <v>74.61</v>
      </c>
      <c r="M211" t="s">
        <v>1290</v>
      </c>
    </row>
    <row r="212" spans="1:13" x14ac:dyDescent="0.3">
      <c r="A212" t="s">
        <v>221</v>
      </c>
      <c r="B212" s="2" t="s">
        <v>580</v>
      </c>
      <c r="C212" s="2" t="s">
        <v>1352</v>
      </c>
      <c r="D212" s="38" t="s">
        <v>785</v>
      </c>
      <c r="E212" t="s">
        <v>788</v>
      </c>
      <c r="F212" t="s">
        <v>793</v>
      </c>
      <c r="G212" s="38" t="s">
        <v>1011</v>
      </c>
      <c r="H212" s="19">
        <v>1642.19</v>
      </c>
      <c r="I212" s="19">
        <v>1668.3600000000001</v>
      </c>
      <c r="J212">
        <v>9</v>
      </c>
      <c r="K212">
        <v>0.1</v>
      </c>
      <c r="L212" s="19">
        <v>-26.17</v>
      </c>
      <c r="M212" t="s">
        <v>1291</v>
      </c>
    </row>
    <row r="213" spans="1:13" x14ac:dyDescent="0.3">
      <c r="A213" t="s">
        <v>222</v>
      </c>
      <c r="B213" s="2" t="s">
        <v>531</v>
      </c>
      <c r="C213" s="2" t="s">
        <v>1353</v>
      </c>
      <c r="D213" s="38" t="s">
        <v>786</v>
      </c>
      <c r="E213" t="s">
        <v>789</v>
      </c>
      <c r="F213" t="s">
        <v>798</v>
      </c>
      <c r="G213" s="38" t="s">
        <v>1012</v>
      </c>
      <c r="H213" s="19">
        <v>1168.58</v>
      </c>
      <c r="I213" s="19">
        <v>965.55</v>
      </c>
      <c r="J213">
        <v>5</v>
      </c>
      <c r="K213">
        <v>0</v>
      </c>
      <c r="L213" s="19">
        <v>203.03</v>
      </c>
      <c r="M213" t="s">
        <v>1291</v>
      </c>
    </row>
    <row r="214" spans="1:13" x14ac:dyDescent="0.3">
      <c r="A214" t="s">
        <v>223</v>
      </c>
      <c r="B214" s="2" t="s">
        <v>673</v>
      </c>
      <c r="C214" s="2" t="s">
        <v>1350</v>
      </c>
      <c r="D214" s="38" t="s">
        <v>786</v>
      </c>
      <c r="E214" t="s">
        <v>787</v>
      </c>
      <c r="F214" t="s">
        <v>801</v>
      </c>
      <c r="G214" s="38" t="s">
        <v>1013</v>
      </c>
      <c r="H214" s="19">
        <v>313.95</v>
      </c>
      <c r="I214" s="19">
        <v>291.8</v>
      </c>
      <c r="J214">
        <v>6</v>
      </c>
      <c r="K214">
        <v>0.15</v>
      </c>
      <c r="L214" s="19">
        <v>22.15</v>
      </c>
      <c r="M214" t="s">
        <v>1290</v>
      </c>
    </row>
    <row r="215" spans="1:13" x14ac:dyDescent="0.3">
      <c r="A215" t="s">
        <v>224</v>
      </c>
      <c r="B215" s="2" t="s">
        <v>674</v>
      </c>
      <c r="C215" s="2" t="s">
        <v>1343</v>
      </c>
      <c r="D215" s="38" t="s">
        <v>786</v>
      </c>
      <c r="E215" t="s">
        <v>788</v>
      </c>
      <c r="F215" t="s">
        <v>795</v>
      </c>
      <c r="G215" s="38" t="s">
        <v>1014</v>
      </c>
      <c r="H215" s="19">
        <v>1099.77</v>
      </c>
      <c r="I215" s="19">
        <v>782.69</v>
      </c>
      <c r="J215">
        <v>8</v>
      </c>
      <c r="K215">
        <v>0</v>
      </c>
      <c r="L215" s="19">
        <v>317.08</v>
      </c>
      <c r="M215" t="s">
        <v>1289</v>
      </c>
    </row>
    <row r="216" spans="1:13" x14ac:dyDescent="0.3">
      <c r="A216" t="s">
        <v>225</v>
      </c>
      <c r="B216" s="2" t="s">
        <v>675</v>
      </c>
      <c r="C216" s="2" t="s">
        <v>1352</v>
      </c>
      <c r="D216" s="38" t="s">
        <v>786</v>
      </c>
      <c r="E216" t="s">
        <v>788</v>
      </c>
      <c r="F216" t="s">
        <v>793</v>
      </c>
      <c r="G216" s="38" t="s">
        <v>1015</v>
      </c>
      <c r="H216" s="19">
        <v>1510.47</v>
      </c>
      <c r="I216" s="19">
        <v>1506.8</v>
      </c>
      <c r="J216">
        <v>9</v>
      </c>
      <c r="K216">
        <v>0.15</v>
      </c>
      <c r="L216" s="19">
        <v>3.67</v>
      </c>
      <c r="M216" t="s">
        <v>1290</v>
      </c>
    </row>
    <row r="217" spans="1:13" x14ac:dyDescent="0.3">
      <c r="A217" t="s">
        <v>226</v>
      </c>
      <c r="B217" s="2" t="s">
        <v>592</v>
      </c>
      <c r="C217" s="2" t="s">
        <v>1348</v>
      </c>
      <c r="D217" s="38" t="s">
        <v>784</v>
      </c>
      <c r="E217" t="s">
        <v>789</v>
      </c>
      <c r="F217" t="s">
        <v>799</v>
      </c>
      <c r="G217" s="38" t="s">
        <v>1016</v>
      </c>
      <c r="H217" s="19">
        <v>1064.8</v>
      </c>
      <c r="I217" s="19">
        <v>838.84999999999991</v>
      </c>
      <c r="J217">
        <v>3</v>
      </c>
      <c r="K217">
        <v>0.05</v>
      </c>
      <c r="L217" s="19">
        <v>225.95</v>
      </c>
      <c r="M217" t="s">
        <v>1291</v>
      </c>
    </row>
    <row r="218" spans="1:13" x14ac:dyDescent="0.3">
      <c r="A218" t="s">
        <v>227</v>
      </c>
      <c r="B218" s="2" t="s">
        <v>608</v>
      </c>
      <c r="C218" s="2" t="s">
        <v>1349</v>
      </c>
      <c r="D218" s="38" t="s">
        <v>786</v>
      </c>
      <c r="E218" t="s">
        <v>787</v>
      </c>
      <c r="F218" t="s">
        <v>790</v>
      </c>
      <c r="G218" s="38" t="s">
        <v>1017</v>
      </c>
      <c r="H218" s="19">
        <v>316.88</v>
      </c>
      <c r="I218" s="19">
        <v>324.92</v>
      </c>
      <c r="J218">
        <v>7</v>
      </c>
      <c r="K218">
        <v>0.15</v>
      </c>
      <c r="L218" s="19">
        <v>-8.0399999999999991</v>
      </c>
      <c r="M218" t="s">
        <v>1289</v>
      </c>
    </row>
    <row r="219" spans="1:13" x14ac:dyDescent="0.3">
      <c r="A219" t="s">
        <v>228</v>
      </c>
      <c r="B219" s="2" t="s">
        <v>520</v>
      </c>
      <c r="C219" s="2" t="s">
        <v>1344</v>
      </c>
      <c r="D219" s="38" t="s">
        <v>783</v>
      </c>
      <c r="E219" t="s">
        <v>787</v>
      </c>
      <c r="F219" t="s">
        <v>801</v>
      </c>
      <c r="G219" s="38" t="s">
        <v>1018</v>
      </c>
      <c r="H219" s="19">
        <v>1799.75</v>
      </c>
      <c r="I219" s="19">
        <v>1544.8600000000001</v>
      </c>
      <c r="J219">
        <v>1</v>
      </c>
      <c r="K219">
        <v>0.05</v>
      </c>
      <c r="L219" s="19">
        <v>254.89</v>
      </c>
      <c r="M219" t="s">
        <v>1291</v>
      </c>
    </row>
    <row r="220" spans="1:13" x14ac:dyDescent="0.3">
      <c r="A220" t="s">
        <v>229</v>
      </c>
      <c r="B220" s="2" t="s">
        <v>636</v>
      </c>
      <c r="C220" s="2" t="s">
        <v>1348</v>
      </c>
      <c r="D220" s="38" t="s">
        <v>784</v>
      </c>
      <c r="E220" t="s">
        <v>788</v>
      </c>
      <c r="F220" t="s">
        <v>795</v>
      </c>
      <c r="G220" s="38" t="s">
        <v>1019</v>
      </c>
      <c r="H220" s="19">
        <v>690.28</v>
      </c>
      <c r="I220" s="19">
        <v>592.71</v>
      </c>
      <c r="J220">
        <v>1</v>
      </c>
      <c r="K220">
        <v>0.15</v>
      </c>
      <c r="L220" s="19">
        <v>97.57</v>
      </c>
      <c r="M220" t="s">
        <v>1291</v>
      </c>
    </row>
    <row r="221" spans="1:13" x14ac:dyDescent="0.3">
      <c r="A221" t="s">
        <v>230</v>
      </c>
      <c r="B221" s="2" t="s">
        <v>640</v>
      </c>
      <c r="C221" s="2" t="s">
        <v>1346</v>
      </c>
      <c r="D221" s="38" t="s">
        <v>786</v>
      </c>
      <c r="E221" t="s">
        <v>789</v>
      </c>
      <c r="F221" t="s">
        <v>794</v>
      </c>
      <c r="G221" s="38" t="s">
        <v>1020</v>
      </c>
      <c r="H221" s="19">
        <v>1384.39</v>
      </c>
      <c r="I221" s="19">
        <v>1332.18</v>
      </c>
      <c r="J221">
        <v>4</v>
      </c>
      <c r="K221">
        <v>0.1</v>
      </c>
      <c r="L221" s="19">
        <v>52.21</v>
      </c>
      <c r="M221" t="s">
        <v>1291</v>
      </c>
    </row>
    <row r="222" spans="1:13" x14ac:dyDescent="0.3">
      <c r="A222" t="s">
        <v>231</v>
      </c>
      <c r="B222" s="2" t="s">
        <v>663</v>
      </c>
      <c r="C222" s="2" t="s">
        <v>1348</v>
      </c>
      <c r="D222" s="38" t="s">
        <v>785</v>
      </c>
      <c r="E222" t="s">
        <v>788</v>
      </c>
      <c r="F222" t="s">
        <v>795</v>
      </c>
      <c r="G222" s="38" t="s">
        <v>1021</v>
      </c>
      <c r="H222" s="19">
        <v>249.63</v>
      </c>
      <c r="I222" s="19">
        <v>268.42</v>
      </c>
      <c r="J222">
        <v>7</v>
      </c>
      <c r="K222">
        <v>0.2</v>
      </c>
      <c r="L222" s="19">
        <v>-18.79</v>
      </c>
      <c r="M222" t="s">
        <v>1290</v>
      </c>
    </row>
    <row r="223" spans="1:13" x14ac:dyDescent="0.3">
      <c r="A223" t="s">
        <v>232</v>
      </c>
      <c r="B223" s="2" t="s">
        <v>646</v>
      </c>
      <c r="C223" s="2" t="s">
        <v>1353</v>
      </c>
      <c r="D223" s="38" t="s">
        <v>785</v>
      </c>
      <c r="E223" t="s">
        <v>787</v>
      </c>
      <c r="F223" t="s">
        <v>800</v>
      </c>
      <c r="G223" s="38" t="s">
        <v>1022</v>
      </c>
      <c r="H223" s="19">
        <v>1524.96</v>
      </c>
      <c r="I223" s="19">
        <v>1662.15</v>
      </c>
      <c r="J223">
        <v>8</v>
      </c>
      <c r="K223">
        <v>0.2</v>
      </c>
      <c r="L223" s="19">
        <v>-137.19</v>
      </c>
      <c r="M223" t="s">
        <v>1289</v>
      </c>
    </row>
    <row r="224" spans="1:13" x14ac:dyDescent="0.3">
      <c r="A224" t="s">
        <v>233</v>
      </c>
      <c r="B224" s="2" t="s">
        <v>676</v>
      </c>
      <c r="C224" s="2" t="s">
        <v>1343</v>
      </c>
      <c r="D224" s="38" t="s">
        <v>784</v>
      </c>
      <c r="E224" t="s">
        <v>789</v>
      </c>
      <c r="F224" t="s">
        <v>794</v>
      </c>
      <c r="G224" s="38" t="s">
        <v>1023</v>
      </c>
      <c r="H224" s="19">
        <v>1447.92</v>
      </c>
      <c r="I224" s="19">
        <v>1479.0700000000002</v>
      </c>
      <c r="J224">
        <v>1</v>
      </c>
      <c r="K224">
        <v>0.2</v>
      </c>
      <c r="L224" s="19">
        <v>-31.15</v>
      </c>
      <c r="M224" t="s">
        <v>1290</v>
      </c>
    </row>
    <row r="225" spans="1:13" x14ac:dyDescent="0.3">
      <c r="A225" t="s">
        <v>234</v>
      </c>
      <c r="B225" s="2" t="s">
        <v>677</v>
      </c>
      <c r="C225" s="2" t="s">
        <v>1350</v>
      </c>
      <c r="D225" s="38" t="s">
        <v>783</v>
      </c>
      <c r="E225" t="s">
        <v>787</v>
      </c>
      <c r="F225" t="s">
        <v>801</v>
      </c>
      <c r="G225" s="38" t="s">
        <v>1024</v>
      </c>
      <c r="H225" s="19">
        <v>1095.6500000000001</v>
      </c>
      <c r="I225" s="19">
        <v>825.08000000000015</v>
      </c>
      <c r="J225">
        <v>2</v>
      </c>
      <c r="K225">
        <v>0</v>
      </c>
      <c r="L225" s="19">
        <v>270.57</v>
      </c>
      <c r="M225" t="s">
        <v>1289</v>
      </c>
    </row>
    <row r="226" spans="1:13" x14ac:dyDescent="0.3">
      <c r="A226" t="s">
        <v>235</v>
      </c>
      <c r="B226" s="2" t="s">
        <v>678</v>
      </c>
      <c r="C226" s="2" t="s">
        <v>1343</v>
      </c>
      <c r="D226" s="38" t="s">
        <v>784</v>
      </c>
      <c r="E226" t="s">
        <v>789</v>
      </c>
      <c r="F226" t="s">
        <v>798</v>
      </c>
      <c r="G226" s="38" t="s">
        <v>1025</v>
      </c>
      <c r="H226" s="19">
        <v>474.78</v>
      </c>
      <c r="I226" s="19">
        <v>476.21</v>
      </c>
      <c r="J226">
        <v>9</v>
      </c>
      <c r="K226">
        <v>0.15</v>
      </c>
      <c r="L226" s="19">
        <v>-1.43</v>
      </c>
      <c r="M226" t="s">
        <v>1291</v>
      </c>
    </row>
    <row r="227" spans="1:13" x14ac:dyDescent="0.3">
      <c r="A227" t="s">
        <v>236</v>
      </c>
      <c r="B227" s="2" t="s">
        <v>679</v>
      </c>
      <c r="C227" s="2" t="s">
        <v>1350</v>
      </c>
      <c r="D227" s="38" t="s">
        <v>786</v>
      </c>
      <c r="E227" t="s">
        <v>788</v>
      </c>
      <c r="F227" t="s">
        <v>791</v>
      </c>
      <c r="G227" s="38" t="s">
        <v>1026</v>
      </c>
      <c r="H227" s="19">
        <v>1063.02</v>
      </c>
      <c r="I227" s="19">
        <v>866.6</v>
      </c>
      <c r="J227">
        <v>2</v>
      </c>
      <c r="K227">
        <v>0.1</v>
      </c>
      <c r="L227" s="19">
        <v>196.42</v>
      </c>
      <c r="M227" t="s">
        <v>1289</v>
      </c>
    </row>
    <row r="228" spans="1:13" x14ac:dyDescent="0.3">
      <c r="A228" t="s">
        <v>237</v>
      </c>
      <c r="B228" s="2" t="s">
        <v>680</v>
      </c>
      <c r="C228" s="2" t="s">
        <v>1347</v>
      </c>
      <c r="D228" s="38" t="s">
        <v>783</v>
      </c>
      <c r="E228" t="s">
        <v>788</v>
      </c>
      <c r="F228" t="s">
        <v>791</v>
      </c>
      <c r="G228" s="38" t="s">
        <v>1027</v>
      </c>
      <c r="H228" s="19">
        <v>843.05</v>
      </c>
      <c r="I228" s="19">
        <v>911.19999999999993</v>
      </c>
      <c r="J228">
        <v>3</v>
      </c>
      <c r="K228">
        <v>0.2</v>
      </c>
      <c r="L228" s="19">
        <v>-68.150000000000006</v>
      </c>
      <c r="M228" t="s">
        <v>1290</v>
      </c>
    </row>
    <row r="229" spans="1:13" x14ac:dyDescent="0.3">
      <c r="A229" t="s">
        <v>238</v>
      </c>
      <c r="B229" s="2" t="s">
        <v>513</v>
      </c>
      <c r="C229" s="2" t="s">
        <v>1347</v>
      </c>
      <c r="D229" s="38" t="s">
        <v>784</v>
      </c>
      <c r="E229" t="s">
        <v>787</v>
      </c>
      <c r="F229" t="s">
        <v>800</v>
      </c>
      <c r="G229" s="38" t="s">
        <v>1028</v>
      </c>
      <c r="H229" s="19">
        <v>1214.71</v>
      </c>
      <c r="I229" s="19">
        <v>1128.43</v>
      </c>
      <c r="J229">
        <v>2</v>
      </c>
      <c r="K229">
        <v>0.05</v>
      </c>
      <c r="L229" s="19">
        <v>86.28</v>
      </c>
      <c r="M229" t="s">
        <v>1289</v>
      </c>
    </row>
    <row r="230" spans="1:13" x14ac:dyDescent="0.3">
      <c r="A230" t="s">
        <v>239</v>
      </c>
      <c r="B230" s="2" t="s">
        <v>681</v>
      </c>
      <c r="C230" s="2" t="s">
        <v>1343</v>
      </c>
      <c r="D230" s="38" t="s">
        <v>784</v>
      </c>
      <c r="E230" t="s">
        <v>789</v>
      </c>
      <c r="F230" t="s">
        <v>798</v>
      </c>
      <c r="G230" s="38" t="s">
        <v>1029</v>
      </c>
      <c r="H230" s="19">
        <v>1243.8</v>
      </c>
      <c r="I230" s="19">
        <v>1317.04</v>
      </c>
      <c r="J230">
        <v>2</v>
      </c>
      <c r="K230">
        <v>0.2</v>
      </c>
      <c r="L230" s="19">
        <v>-73.239999999999995</v>
      </c>
      <c r="M230" t="s">
        <v>1290</v>
      </c>
    </row>
    <row r="231" spans="1:13" x14ac:dyDescent="0.3">
      <c r="A231" t="s">
        <v>240</v>
      </c>
      <c r="B231" s="2" t="s">
        <v>629</v>
      </c>
      <c r="C231" s="2" t="s">
        <v>1353</v>
      </c>
      <c r="D231" s="38" t="s">
        <v>783</v>
      </c>
      <c r="E231" t="s">
        <v>789</v>
      </c>
      <c r="F231" t="s">
        <v>799</v>
      </c>
      <c r="G231" s="38" t="s">
        <v>1030</v>
      </c>
      <c r="H231" s="19">
        <v>985.21</v>
      </c>
      <c r="I231" s="19">
        <v>1004.48</v>
      </c>
      <c r="J231">
        <v>8</v>
      </c>
      <c r="K231">
        <v>0.2</v>
      </c>
      <c r="L231" s="19">
        <v>-19.27</v>
      </c>
      <c r="M231" t="s">
        <v>1289</v>
      </c>
    </row>
    <row r="232" spans="1:13" x14ac:dyDescent="0.3">
      <c r="A232" t="s">
        <v>241</v>
      </c>
      <c r="B232" s="2" t="s">
        <v>550</v>
      </c>
      <c r="C232" s="2" t="s">
        <v>1345</v>
      </c>
      <c r="D232" s="38" t="s">
        <v>783</v>
      </c>
      <c r="E232" t="s">
        <v>789</v>
      </c>
      <c r="F232" t="s">
        <v>799</v>
      </c>
      <c r="G232" s="38" t="s">
        <v>1031</v>
      </c>
      <c r="H232" s="19">
        <v>1278.6500000000001</v>
      </c>
      <c r="I232" s="19">
        <v>1238.6600000000001</v>
      </c>
      <c r="J232">
        <v>2</v>
      </c>
      <c r="K232">
        <v>0.1</v>
      </c>
      <c r="L232" s="19">
        <v>39.99</v>
      </c>
      <c r="M232" t="s">
        <v>1291</v>
      </c>
    </row>
    <row r="233" spans="1:13" x14ac:dyDescent="0.3">
      <c r="A233" t="s">
        <v>242</v>
      </c>
      <c r="B233" s="2" t="s">
        <v>682</v>
      </c>
      <c r="C233" s="2" t="s">
        <v>1349</v>
      </c>
      <c r="D233" s="38" t="s">
        <v>784</v>
      </c>
      <c r="E233" t="s">
        <v>789</v>
      </c>
      <c r="F233" t="s">
        <v>794</v>
      </c>
      <c r="G233" s="38" t="s">
        <v>1032</v>
      </c>
      <c r="H233" s="19">
        <v>100.57</v>
      </c>
      <c r="I233" s="19">
        <v>92.429999999999993</v>
      </c>
      <c r="J233">
        <v>8</v>
      </c>
      <c r="K233">
        <v>0</v>
      </c>
      <c r="L233" s="19">
        <v>8.14</v>
      </c>
      <c r="M233" t="s">
        <v>1289</v>
      </c>
    </row>
    <row r="234" spans="1:13" x14ac:dyDescent="0.3">
      <c r="A234" t="s">
        <v>243</v>
      </c>
      <c r="B234" s="2" t="s">
        <v>546</v>
      </c>
      <c r="C234" s="2" t="s">
        <v>1344</v>
      </c>
      <c r="D234" s="38" t="s">
        <v>786</v>
      </c>
      <c r="E234" t="s">
        <v>789</v>
      </c>
      <c r="F234" t="s">
        <v>799</v>
      </c>
      <c r="G234" s="38" t="s">
        <v>1033</v>
      </c>
      <c r="H234" s="19">
        <v>1870.46</v>
      </c>
      <c r="I234" s="19">
        <v>1324.71</v>
      </c>
      <c r="J234">
        <v>4</v>
      </c>
      <c r="K234">
        <v>0</v>
      </c>
      <c r="L234" s="19">
        <v>545.75</v>
      </c>
      <c r="M234" t="s">
        <v>1289</v>
      </c>
    </row>
    <row r="235" spans="1:13" x14ac:dyDescent="0.3">
      <c r="A235" t="s">
        <v>244</v>
      </c>
      <c r="B235" s="2" t="s">
        <v>683</v>
      </c>
      <c r="C235" s="2" t="s">
        <v>1343</v>
      </c>
      <c r="D235" s="38" t="s">
        <v>786</v>
      </c>
      <c r="E235" t="s">
        <v>788</v>
      </c>
      <c r="F235" t="s">
        <v>793</v>
      </c>
      <c r="G235" s="38" t="s">
        <v>1034</v>
      </c>
      <c r="H235" s="19">
        <v>1090.92</v>
      </c>
      <c r="I235" s="19">
        <v>1082.0700000000002</v>
      </c>
      <c r="J235">
        <v>2</v>
      </c>
      <c r="K235">
        <v>0.1</v>
      </c>
      <c r="L235" s="19">
        <v>8.85</v>
      </c>
      <c r="M235" t="s">
        <v>1289</v>
      </c>
    </row>
    <row r="236" spans="1:13" x14ac:dyDescent="0.3">
      <c r="A236" t="s">
        <v>245</v>
      </c>
      <c r="B236" s="2" t="s">
        <v>684</v>
      </c>
      <c r="C236" s="2" t="s">
        <v>1344</v>
      </c>
      <c r="D236" s="38" t="s">
        <v>783</v>
      </c>
      <c r="E236" t="s">
        <v>788</v>
      </c>
      <c r="F236" t="s">
        <v>791</v>
      </c>
      <c r="G236" s="38" t="s">
        <v>1035</v>
      </c>
      <c r="H236" s="19">
        <v>584.05999999999995</v>
      </c>
      <c r="I236" s="19">
        <v>516.31999999999994</v>
      </c>
      <c r="J236">
        <v>7</v>
      </c>
      <c r="K236">
        <v>0</v>
      </c>
      <c r="L236" s="19">
        <v>67.739999999999995</v>
      </c>
      <c r="M236" t="s">
        <v>1290</v>
      </c>
    </row>
    <row r="237" spans="1:13" x14ac:dyDescent="0.3">
      <c r="A237" t="s">
        <v>246</v>
      </c>
      <c r="B237" s="2" t="s">
        <v>652</v>
      </c>
      <c r="C237" s="2" t="s">
        <v>1353</v>
      </c>
      <c r="D237" s="38" t="s">
        <v>785</v>
      </c>
      <c r="E237" t="s">
        <v>788</v>
      </c>
      <c r="F237" t="s">
        <v>795</v>
      </c>
      <c r="G237" s="38" t="s">
        <v>1036</v>
      </c>
      <c r="H237" s="19">
        <v>1579.72</v>
      </c>
      <c r="I237" s="19">
        <v>1626.54</v>
      </c>
      <c r="J237">
        <v>1</v>
      </c>
      <c r="K237">
        <v>0.15</v>
      </c>
      <c r="L237" s="19">
        <v>-46.82</v>
      </c>
      <c r="M237" t="s">
        <v>1290</v>
      </c>
    </row>
    <row r="238" spans="1:13" x14ac:dyDescent="0.3">
      <c r="A238" t="s">
        <v>247</v>
      </c>
      <c r="B238" s="2" t="s">
        <v>573</v>
      </c>
      <c r="C238" s="2" t="s">
        <v>1353</v>
      </c>
      <c r="D238" s="38" t="s">
        <v>785</v>
      </c>
      <c r="E238" t="s">
        <v>789</v>
      </c>
      <c r="F238" t="s">
        <v>798</v>
      </c>
      <c r="G238" s="38" t="s">
        <v>1037</v>
      </c>
      <c r="H238" s="19">
        <v>1680.04</v>
      </c>
      <c r="I238" s="19">
        <v>1695.3</v>
      </c>
      <c r="J238">
        <v>2</v>
      </c>
      <c r="K238">
        <v>0.1</v>
      </c>
      <c r="L238" s="19">
        <v>-15.26</v>
      </c>
      <c r="M238" t="s">
        <v>1290</v>
      </c>
    </row>
    <row r="239" spans="1:13" x14ac:dyDescent="0.3">
      <c r="A239" t="s">
        <v>248</v>
      </c>
      <c r="B239" s="2" t="s">
        <v>618</v>
      </c>
      <c r="C239" s="2" t="s">
        <v>1345</v>
      </c>
      <c r="D239" s="38" t="s">
        <v>783</v>
      </c>
      <c r="E239" t="s">
        <v>787</v>
      </c>
      <c r="F239" t="s">
        <v>790</v>
      </c>
      <c r="G239" s="38" t="s">
        <v>1038</v>
      </c>
      <c r="H239" s="19">
        <v>342.78</v>
      </c>
      <c r="I239" s="19">
        <v>267.92999999999995</v>
      </c>
      <c r="J239">
        <v>4</v>
      </c>
      <c r="K239">
        <v>0</v>
      </c>
      <c r="L239" s="19">
        <v>74.849999999999994</v>
      </c>
      <c r="M239" t="s">
        <v>1290</v>
      </c>
    </row>
    <row r="240" spans="1:13" x14ac:dyDescent="0.3">
      <c r="A240" t="s">
        <v>249</v>
      </c>
      <c r="B240" s="2" t="s">
        <v>635</v>
      </c>
      <c r="C240" s="2" t="s">
        <v>1347</v>
      </c>
      <c r="D240" s="38" t="s">
        <v>784</v>
      </c>
      <c r="E240" t="s">
        <v>788</v>
      </c>
      <c r="F240" t="s">
        <v>793</v>
      </c>
      <c r="G240" s="38" t="s">
        <v>1039</v>
      </c>
      <c r="H240" s="19">
        <v>1380.18</v>
      </c>
      <c r="I240" s="19">
        <v>1069.3800000000001</v>
      </c>
      <c r="J240">
        <v>2</v>
      </c>
      <c r="K240">
        <v>0</v>
      </c>
      <c r="L240" s="19">
        <v>310.8</v>
      </c>
      <c r="M240" t="s">
        <v>1290</v>
      </c>
    </row>
    <row r="241" spans="1:13" x14ac:dyDescent="0.3">
      <c r="A241" t="s">
        <v>250</v>
      </c>
      <c r="B241" s="2" t="s">
        <v>612</v>
      </c>
      <c r="C241" s="2" t="s">
        <v>1350</v>
      </c>
      <c r="D241" s="38" t="s">
        <v>783</v>
      </c>
      <c r="E241" t="s">
        <v>789</v>
      </c>
      <c r="F241" t="s">
        <v>794</v>
      </c>
      <c r="G241" s="38" t="s">
        <v>1040</v>
      </c>
      <c r="H241" s="19">
        <v>149.47999999999999</v>
      </c>
      <c r="I241" s="19">
        <v>155.25</v>
      </c>
      <c r="J241">
        <v>1</v>
      </c>
      <c r="K241">
        <v>0.15</v>
      </c>
      <c r="L241" s="19">
        <v>-5.77</v>
      </c>
      <c r="M241" t="s">
        <v>1291</v>
      </c>
    </row>
    <row r="242" spans="1:13" x14ac:dyDescent="0.3">
      <c r="A242" t="s">
        <v>251</v>
      </c>
      <c r="B242" s="2" t="s">
        <v>685</v>
      </c>
      <c r="C242" s="2" t="s">
        <v>1344</v>
      </c>
      <c r="D242" s="38" t="s">
        <v>786</v>
      </c>
      <c r="E242" t="s">
        <v>789</v>
      </c>
      <c r="F242" t="s">
        <v>799</v>
      </c>
      <c r="G242" s="38" t="s">
        <v>1041</v>
      </c>
      <c r="H242" s="19">
        <v>701.7</v>
      </c>
      <c r="I242" s="19">
        <v>569.06000000000006</v>
      </c>
      <c r="J242">
        <v>2</v>
      </c>
      <c r="K242">
        <v>0.1</v>
      </c>
      <c r="L242" s="19">
        <v>132.63999999999999</v>
      </c>
      <c r="M242" t="s">
        <v>1291</v>
      </c>
    </row>
    <row r="243" spans="1:13" x14ac:dyDescent="0.3">
      <c r="A243" t="s">
        <v>252</v>
      </c>
      <c r="B243" s="2" t="s">
        <v>523</v>
      </c>
      <c r="C243" s="2" t="s">
        <v>1352</v>
      </c>
      <c r="D243" s="38" t="s">
        <v>786</v>
      </c>
      <c r="E243" t="s">
        <v>789</v>
      </c>
      <c r="F243" t="s">
        <v>797</v>
      </c>
      <c r="G243" s="38" t="s">
        <v>1042</v>
      </c>
      <c r="H243" s="19">
        <v>1551.19</v>
      </c>
      <c r="I243" s="19">
        <v>1624.55</v>
      </c>
      <c r="J243">
        <v>10</v>
      </c>
      <c r="K243">
        <v>0.1</v>
      </c>
      <c r="L243" s="19">
        <v>-73.36</v>
      </c>
      <c r="M243" t="s">
        <v>1290</v>
      </c>
    </row>
    <row r="244" spans="1:13" x14ac:dyDescent="0.3">
      <c r="A244" t="s">
        <v>253</v>
      </c>
      <c r="B244" s="2" t="s">
        <v>553</v>
      </c>
      <c r="C244" s="2" t="s">
        <v>1345</v>
      </c>
      <c r="D244" s="38" t="s">
        <v>785</v>
      </c>
      <c r="E244" t="s">
        <v>788</v>
      </c>
      <c r="F244" t="s">
        <v>796</v>
      </c>
      <c r="G244" s="38" t="s">
        <v>1043</v>
      </c>
      <c r="H244" s="19">
        <v>1771.65</v>
      </c>
      <c r="I244" s="19">
        <v>1457.0900000000001</v>
      </c>
      <c r="J244">
        <v>4</v>
      </c>
      <c r="K244">
        <v>0</v>
      </c>
      <c r="L244" s="19">
        <v>314.56</v>
      </c>
      <c r="M244" t="s">
        <v>1289</v>
      </c>
    </row>
    <row r="245" spans="1:13" x14ac:dyDescent="0.3">
      <c r="A245" t="s">
        <v>254</v>
      </c>
      <c r="B245" s="2" t="s">
        <v>546</v>
      </c>
      <c r="C245" s="2" t="s">
        <v>1344</v>
      </c>
      <c r="D245" s="38" t="s">
        <v>784</v>
      </c>
      <c r="E245" t="s">
        <v>788</v>
      </c>
      <c r="F245" t="s">
        <v>795</v>
      </c>
      <c r="G245" s="38" t="s">
        <v>1044</v>
      </c>
      <c r="H245" s="19">
        <v>104.99</v>
      </c>
      <c r="I245" s="19">
        <v>92.38</v>
      </c>
      <c r="J245">
        <v>7</v>
      </c>
      <c r="K245">
        <v>0.05</v>
      </c>
      <c r="L245" s="19">
        <v>12.61</v>
      </c>
      <c r="M245" t="s">
        <v>1290</v>
      </c>
    </row>
    <row r="246" spans="1:13" x14ac:dyDescent="0.3">
      <c r="A246" t="s">
        <v>255</v>
      </c>
      <c r="B246" s="2" t="s">
        <v>606</v>
      </c>
      <c r="C246" s="2" t="s">
        <v>1353</v>
      </c>
      <c r="D246" s="38" t="s">
        <v>785</v>
      </c>
      <c r="E246" t="s">
        <v>789</v>
      </c>
      <c r="F246" t="s">
        <v>798</v>
      </c>
      <c r="G246" s="38" t="s">
        <v>1045</v>
      </c>
      <c r="H246" s="19">
        <v>917.72</v>
      </c>
      <c r="I246" s="19">
        <v>737.43000000000006</v>
      </c>
      <c r="J246">
        <v>3</v>
      </c>
      <c r="K246">
        <v>0.1</v>
      </c>
      <c r="L246" s="19">
        <v>180.29</v>
      </c>
      <c r="M246" t="s">
        <v>1289</v>
      </c>
    </row>
    <row r="247" spans="1:13" x14ac:dyDescent="0.3">
      <c r="A247" t="s">
        <v>256</v>
      </c>
      <c r="B247" s="2" t="s">
        <v>686</v>
      </c>
      <c r="C247" s="2" t="s">
        <v>1344</v>
      </c>
      <c r="D247" s="38" t="s">
        <v>784</v>
      </c>
      <c r="E247" t="s">
        <v>787</v>
      </c>
      <c r="F247" t="s">
        <v>801</v>
      </c>
      <c r="G247" s="38" t="s">
        <v>1046</v>
      </c>
      <c r="H247" s="19">
        <v>1484.02</v>
      </c>
      <c r="I247" s="19">
        <v>1147.1399999999999</v>
      </c>
      <c r="J247">
        <v>9</v>
      </c>
      <c r="K247">
        <v>0.05</v>
      </c>
      <c r="L247" s="19">
        <v>336.88</v>
      </c>
      <c r="M247" t="s">
        <v>1291</v>
      </c>
    </row>
    <row r="248" spans="1:13" x14ac:dyDescent="0.3">
      <c r="A248" t="s">
        <v>257</v>
      </c>
      <c r="B248" s="2" t="s">
        <v>608</v>
      </c>
      <c r="C248" s="2" t="s">
        <v>1349</v>
      </c>
      <c r="D248" s="38" t="s">
        <v>783</v>
      </c>
      <c r="E248" t="s">
        <v>788</v>
      </c>
      <c r="F248" t="s">
        <v>796</v>
      </c>
      <c r="G248" s="38" t="s">
        <v>1047</v>
      </c>
      <c r="H248" s="19">
        <v>321.19</v>
      </c>
      <c r="I248" s="19">
        <v>326.81</v>
      </c>
      <c r="J248">
        <v>7</v>
      </c>
      <c r="K248">
        <v>0.15</v>
      </c>
      <c r="L248" s="19">
        <v>-5.62</v>
      </c>
      <c r="M248" t="s">
        <v>1289</v>
      </c>
    </row>
    <row r="249" spans="1:13" x14ac:dyDescent="0.3">
      <c r="A249" t="s">
        <v>258</v>
      </c>
      <c r="B249" s="2" t="s">
        <v>687</v>
      </c>
      <c r="C249" s="2" t="s">
        <v>1349</v>
      </c>
      <c r="D249" s="38" t="s">
        <v>784</v>
      </c>
      <c r="E249" t="s">
        <v>789</v>
      </c>
      <c r="F249" t="s">
        <v>799</v>
      </c>
      <c r="G249" s="38" t="s">
        <v>1048</v>
      </c>
      <c r="H249" s="19">
        <v>454.44</v>
      </c>
      <c r="I249" s="19">
        <v>330.3</v>
      </c>
      <c r="J249">
        <v>6</v>
      </c>
      <c r="K249">
        <v>0</v>
      </c>
      <c r="L249" s="19">
        <v>124.14</v>
      </c>
      <c r="M249" t="s">
        <v>1290</v>
      </c>
    </row>
    <row r="250" spans="1:13" x14ac:dyDescent="0.3">
      <c r="A250" t="s">
        <v>259</v>
      </c>
      <c r="B250" s="2" t="s">
        <v>555</v>
      </c>
      <c r="C250" s="2" t="s">
        <v>1348</v>
      </c>
      <c r="D250" s="38" t="s">
        <v>783</v>
      </c>
      <c r="E250" t="s">
        <v>787</v>
      </c>
      <c r="F250" t="s">
        <v>790</v>
      </c>
      <c r="G250" s="38" t="s">
        <v>1049</v>
      </c>
      <c r="H250" s="19">
        <v>910.53</v>
      </c>
      <c r="I250" s="19">
        <v>799.73</v>
      </c>
      <c r="J250">
        <v>7</v>
      </c>
      <c r="K250">
        <v>0.15</v>
      </c>
      <c r="L250" s="19">
        <v>110.8</v>
      </c>
      <c r="M250" t="s">
        <v>1289</v>
      </c>
    </row>
    <row r="251" spans="1:13" x14ac:dyDescent="0.3">
      <c r="A251" t="s">
        <v>260</v>
      </c>
      <c r="B251" s="2" t="s">
        <v>688</v>
      </c>
      <c r="C251" s="2" t="s">
        <v>1347</v>
      </c>
      <c r="D251" s="38" t="s">
        <v>785</v>
      </c>
      <c r="E251" t="s">
        <v>788</v>
      </c>
      <c r="F251" t="s">
        <v>793</v>
      </c>
      <c r="G251" s="38" t="s">
        <v>1050</v>
      </c>
      <c r="H251" s="19">
        <v>1378.64</v>
      </c>
      <c r="I251" s="19">
        <v>1346.65</v>
      </c>
      <c r="J251">
        <v>5</v>
      </c>
      <c r="K251">
        <v>0.2</v>
      </c>
      <c r="L251" s="19">
        <v>31.99</v>
      </c>
      <c r="M251" t="s">
        <v>1291</v>
      </c>
    </row>
    <row r="252" spans="1:13" x14ac:dyDescent="0.3">
      <c r="A252" t="s">
        <v>261</v>
      </c>
      <c r="B252" s="2" t="s">
        <v>670</v>
      </c>
      <c r="C252" s="2" t="s">
        <v>1351</v>
      </c>
      <c r="D252" s="38" t="s">
        <v>784</v>
      </c>
      <c r="E252" t="s">
        <v>788</v>
      </c>
      <c r="F252" t="s">
        <v>793</v>
      </c>
      <c r="G252" s="38" t="s">
        <v>1051</v>
      </c>
      <c r="H252" s="19">
        <v>1323.68</v>
      </c>
      <c r="I252" s="19">
        <v>1132.76</v>
      </c>
      <c r="J252">
        <v>6</v>
      </c>
      <c r="K252">
        <v>0.15</v>
      </c>
      <c r="L252" s="19">
        <v>190.92</v>
      </c>
      <c r="M252" t="s">
        <v>1289</v>
      </c>
    </row>
    <row r="253" spans="1:13" x14ac:dyDescent="0.3">
      <c r="A253" t="s">
        <v>262</v>
      </c>
      <c r="B253" s="2" t="s">
        <v>551</v>
      </c>
      <c r="C253" s="2" t="s">
        <v>1344</v>
      </c>
      <c r="D253" s="38" t="s">
        <v>785</v>
      </c>
      <c r="E253" t="s">
        <v>788</v>
      </c>
      <c r="F253" t="s">
        <v>796</v>
      </c>
      <c r="G253" s="38" t="s">
        <v>1052</v>
      </c>
      <c r="H253" s="19">
        <v>168.27</v>
      </c>
      <c r="I253" s="19">
        <v>148.21</v>
      </c>
      <c r="J253">
        <v>9</v>
      </c>
      <c r="K253">
        <v>0.15</v>
      </c>
      <c r="L253" s="19">
        <v>20.059999999999999</v>
      </c>
      <c r="M253" t="s">
        <v>1289</v>
      </c>
    </row>
    <row r="254" spans="1:13" x14ac:dyDescent="0.3">
      <c r="A254" t="s">
        <v>263</v>
      </c>
      <c r="B254" s="2" t="s">
        <v>689</v>
      </c>
      <c r="C254" s="2" t="s">
        <v>1348</v>
      </c>
      <c r="D254" s="38" t="s">
        <v>784</v>
      </c>
      <c r="E254" t="s">
        <v>787</v>
      </c>
      <c r="F254" t="s">
        <v>790</v>
      </c>
      <c r="G254" s="38" t="s">
        <v>1053</v>
      </c>
      <c r="H254" s="19">
        <v>1451.61</v>
      </c>
      <c r="I254" s="19">
        <v>1342.37</v>
      </c>
      <c r="J254">
        <v>4</v>
      </c>
      <c r="K254">
        <v>0.1</v>
      </c>
      <c r="L254" s="19">
        <v>109.24</v>
      </c>
      <c r="M254" t="s">
        <v>1290</v>
      </c>
    </row>
    <row r="255" spans="1:13" x14ac:dyDescent="0.3">
      <c r="A255" t="s">
        <v>264</v>
      </c>
      <c r="B255" s="2" t="s">
        <v>690</v>
      </c>
      <c r="C255" s="2" t="s">
        <v>1350</v>
      </c>
      <c r="D255" s="38" t="s">
        <v>785</v>
      </c>
      <c r="E255" t="s">
        <v>788</v>
      </c>
      <c r="F255" t="s">
        <v>796</v>
      </c>
      <c r="G255" s="38" t="s">
        <v>1054</v>
      </c>
      <c r="H255" s="19">
        <v>1244.69</v>
      </c>
      <c r="I255" s="19">
        <v>1059.67</v>
      </c>
      <c r="J255">
        <v>6</v>
      </c>
      <c r="K255">
        <v>0.1</v>
      </c>
      <c r="L255" s="19">
        <v>185.02</v>
      </c>
      <c r="M255" t="s">
        <v>1289</v>
      </c>
    </row>
    <row r="256" spans="1:13" x14ac:dyDescent="0.3">
      <c r="A256" t="s">
        <v>265</v>
      </c>
      <c r="B256" s="2" t="s">
        <v>614</v>
      </c>
      <c r="C256" s="2" t="s">
        <v>1347</v>
      </c>
      <c r="D256" s="38" t="s">
        <v>786</v>
      </c>
      <c r="E256" t="s">
        <v>789</v>
      </c>
      <c r="F256" t="s">
        <v>794</v>
      </c>
      <c r="G256" s="38" t="s">
        <v>1055</v>
      </c>
      <c r="H256" s="19">
        <v>855.41</v>
      </c>
      <c r="I256" s="19">
        <v>793.81</v>
      </c>
      <c r="J256">
        <v>6</v>
      </c>
      <c r="K256">
        <v>0.15</v>
      </c>
      <c r="L256" s="19">
        <v>61.6</v>
      </c>
      <c r="M256" t="s">
        <v>1289</v>
      </c>
    </row>
    <row r="257" spans="1:13" x14ac:dyDescent="0.3">
      <c r="A257" t="s">
        <v>266</v>
      </c>
      <c r="B257" s="2" t="s">
        <v>691</v>
      </c>
      <c r="C257" s="2" t="s">
        <v>1347</v>
      </c>
      <c r="D257" s="38" t="s">
        <v>783</v>
      </c>
      <c r="E257" t="s">
        <v>788</v>
      </c>
      <c r="F257" t="s">
        <v>791</v>
      </c>
      <c r="G257" s="38" t="s">
        <v>1056</v>
      </c>
      <c r="H257" s="19">
        <v>388.34</v>
      </c>
      <c r="I257" s="19">
        <v>335.69</v>
      </c>
      <c r="J257">
        <v>3</v>
      </c>
      <c r="K257">
        <v>0</v>
      </c>
      <c r="L257" s="19">
        <v>52.65</v>
      </c>
      <c r="M257" t="s">
        <v>1289</v>
      </c>
    </row>
    <row r="258" spans="1:13" x14ac:dyDescent="0.3">
      <c r="A258" t="s">
        <v>267</v>
      </c>
      <c r="B258" s="2" t="s">
        <v>692</v>
      </c>
      <c r="C258" s="2" t="s">
        <v>1345</v>
      </c>
      <c r="D258" s="38" t="s">
        <v>784</v>
      </c>
      <c r="E258" t="s">
        <v>789</v>
      </c>
      <c r="F258" t="s">
        <v>794</v>
      </c>
      <c r="G258" s="38" t="s">
        <v>1057</v>
      </c>
      <c r="H258" s="19">
        <v>78.430000000000007</v>
      </c>
      <c r="I258" s="19">
        <v>64.240000000000009</v>
      </c>
      <c r="J258">
        <v>3</v>
      </c>
      <c r="K258">
        <v>0</v>
      </c>
      <c r="L258" s="19">
        <v>14.19</v>
      </c>
      <c r="M258" t="s">
        <v>1290</v>
      </c>
    </row>
    <row r="259" spans="1:13" x14ac:dyDescent="0.3">
      <c r="A259" t="s">
        <v>268</v>
      </c>
      <c r="B259" s="2" t="s">
        <v>693</v>
      </c>
      <c r="C259" s="2" t="s">
        <v>1348</v>
      </c>
      <c r="D259" s="38" t="s">
        <v>786</v>
      </c>
      <c r="E259" t="s">
        <v>788</v>
      </c>
      <c r="F259" t="s">
        <v>795</v>
      </c>
      <c r="G259" s="38" t="s">
        <v>1058</v>
      </c>
      <c r="H259" s="19">
        <v>331.32</v>
      </c>
      <c r="I259" s="19">
        <v>239.93</v>
      </c>
      <c r="J259">
        <v>4</v>
      </c>
      <c r="K259">
        <v>0</v>
      </c>
      <c r="L259" s="19">
        <v>91.39</v>
      </c>
      <c r="M259" t="s">
        <v>1289</v>
      </c>
    </row>
    <row r="260" spans="1:13" x14ac:dyDescent="0.3">
      <c r="A260" t="s">
        <v>269</v>
      </c>
      <c r="B260" s="2" t="s">
        <v>600</v>
      </c>
      <c r="C260" s="2" t="s">
        <v>1354</v>
      </c>
      <c r="D260" s="38" t="s">
        <v>783</v>
      </c>
      <c r="E260" t="s">
        <v>788</v>
      </c>
      <c r="F260" t="s">
        <v>796</v>
      </c>
      <c r="G260" s="38" t="s">
        <v>1059</v>
      </c>
      <c r="H260" s="19">
        <v>450.64</v>
      </c>
      <c r="I260" s="19">
        <v>323.07</v>
      </c>
      <c r="J260">
        <v>8</v>
      </c>
      <c r="K260">
        <v>0</v>
      </c>
      <c r="L260" s="19">
        <v>127.57</v>
      </c>
      <c r="M260" t="s">
        <v>1291</v>
      </c>
    </row>
    <row r="261" spans="1:13" x14ac:dyDescent="0.3">
      <c r="A261" t="s">
        <v>270</v>
      </c>
      <c r="B261" s="2" t="s">
        <v>554</v>
      </c>
      <c r="C261" s="2" t="s">
        <v>1350</v>
      </c>
      <c r="D261" s="38" t="s">
        <v>785</v>
      </c>
      <c r="E261" t="s">
        <v>788</v>
      </c>
      <c r="F261" t="s">
        <v>791</v>
      </c>
      <c r="G261" s="38" t="s">
        <v>1060</v>
      </c>
      <c r="H261" s="19">
        <v>419.05</v>
      </c>
      <c r="I261" s="19">
        <v>429.07</v>
      </c>
      <c r="J261">
        <v>4</v>
      </c>
      <c r="K261">
        <v>0.15</v>
      </c>
      <c r="L261" s="19">
        <v>-10.02</v>
      </c>
      <c r="M261" t="s">
        <v>1289</v>
      </c>
    </row>
    <row r="262" spans="1:13" x14ac:dyDescent="0.3">
      <c r="A262" t="s">
        <v>271</v>
      </c>
      <c r="B262" s="2" t="s">
        <v>633</v>
      </c>
      <c r="C262" s="2" t="s">
        <v>1353</v>
      </c>
      <c r="D262" s="38" t="s">
        <v>783</v>
      </c>
      <c r="E262" t="s">
        <v>787</v>
      </c>
      <c r="F262" t="s">
        <v>801</v>
      </c>
      <c r="G262" s="38" t="s">
        <v>1061</v>
      </c>
      <c r="H262" s="19">
        <v>1042.25</v>
      </c>
      <c r="I262" s="19">
        <v>925.75</v>
      </c>
      <c r="J262">
        <v>8</v>
      </c>
      <c r="K262">
        <v>0.15</v>
      </c>
      <c r="L262" s="19">
        <v>116.5</v>
      </c>
      <c r="M262" t="s">
        <v>1291</v>
      </c>
    </row>
    <row r="263" spans="1:13" x14ac:dyDescent="0.3">
      <c r="A263" t="s">
        <v>272</v>
      </c>
      <c r="B263" s="2" t="s">
        <v>621</v>
      </c>
      <c r="C263" s="2" t="s">
        <v>1344</v>
      </c>
      <c r="D263" s="38" t="s">
        <v>785</v>
      </c>
      <c r="E263" t="s">
        <v>788</v>
      </c>
      <c r="F263" t="s">
        <v>791</v>
      </c>
      <c r="G263" s="38" t="s">
        <v>1062</v>
      </c>
      <c r="H263" s="19">
        <v>1034.56</v>
      </c>
      <c r="I263" s="19">
        <v>946.12999999999988</v>
      </c>
      <c r="J263">
        <v>6</v>
      </c>
      <c r="K263">
        <v>0.05</v>
      </c>
      <c r="L263" s="19">
        <v>88.43</v>
      </c>
      <c r="M263" t="s">
        <v>1289</v>
      </c>
    </row>
    <row r="264" spans="1:13" x14ac:dyDescent="0.3">
      <c r="A264" t="s">
        <v>273</v>
      </c>
      <c r="B264" s="2" t="s">
        <v>513</v>
      </c>
      <c r="C264" s="2" t="s">
        <v>1347</v>
      </c>
      <c r="D264" s="38" t="s">
        <v>784</v>
      </c>
      <c r="E264" t="s">
        <v>788</v>
      </c>
      <c r="F264" t="s">
        <v>796</v>
      </c>
      <c r="G264" s="38" t="s">
        <v>1063</v>
      </c>
      <c r="H264" s="19">
        <v>1362.52</v>
      </c>
      <c r="I264" s="19">
        <v>1097.8</v>
      </c>
      <c r="J264">
        <v>6</v>
      </c>
      <c r="K264">
        <v>0.05</v>
      </c>
      <c r="L264" s="19">
        <v>264.72000000000003</v>
      </c>
      <c r="M264" t="s">
        <v>1291</v>
      </c>
    </row>
    <row r="265" spans="1:13" x14ac:dyDescent="0.3">
      <c r="A265" t="s">
        <v>274</v>
      </c>
      <c r="B265" s="2" t="s">
        <v>694</v>
      </c>
      <c r="C265" s="2" t="s">
        <v>1343</v>
      </c>
      <c r="D265" s="38" t="s">
        <v>785</v>
      </c>
      <c r="E265" t="s">
        <v>788</v>
      </c>
      <c r="F265" t="s">
        <v>791</v>
      </c>
      <c r="G265" s="38" t="s">
        <v>1064</v>
      </c>
      <c r="H265" s="19">
        <v>1647</v>
      </c>
      <c r="I265" s="19">
        <v>1460</v>
      </c>
      <c r="J265">
        <v>7</v>
      </c>
      <c r="K265">
        <v>0.1</v>
      </c>
      <c r="L265" s="19">
        <v>187</v>
      </c>
      <c r="M265" t="s">
        <v>1291</v>
      </c>
    </row>
    <row r="266" spans="1:13" x14ac:dyDescent="0.3">
      <c r="A266" t="s">
        <v>275</v>
      </c>
      <c r="B266" s="2" t="s">
        <v>695</v>
      </c>
      <c r="C266" s="2" t="s">
        <v>1351</v>
      </c>
      <c r="D266" s="38" t="s">
        <v>786</v>
      </c>
      <c r="E266" t="s">
        <v>789</v>
      </c>
      <c r="F266" t="s">
        <v>794</v>
      </c>
      <c r="G266" s="38" t="s">
        <v>1065</v>
      </c>
      <c r="H266" s="19">
        <v>634.46</v>
      </c>
      <c r="I266" s="19">
        <v>450.51000000000005</v>
      </c>
      <c r="J266">
        <v>3</v>
      </c>
      <c r="K266">
        <v>0</v>
      </c>
      <c r="L266" s="19">
        <v>183.95</v>
      </c>
      <c r="M266" t="s">
        <v>1290</v>
      </c>
    </row>
    <row r="267" spans="1:13" x14ac:dyDescent="0.3">
      <c r="A267" t="s">
        <v>276</v>
      </c>
      <c r="B267" s="2" t="s">
        <v>583</v>
      </c>
      <c r="C267" s="2" t="s">
        <v>1343</v>
      </c>
      <c r="D267" s="38" t="s">
        <v>785</v>
      </c>
      <c r="E267" t="s">
        <v>788</v>
      </c>
      <c r="F267" t="s">
        <v>795</v>
      </c>
      <c r="G267" s="38" t="s">
        <v>1014</v>
      </c>
      <c r="H267" s="19">
        <v>910.04</v>
      </c>
      <c r="I267" s="19">
        <v>798.09999999999991</v>
      </c>
      <c r="J267">
        <v>1</v>
      </c>
      <c r="K267">
        <v>0</v>
      </c>
      <c r="L267" s="19">
        <v>111.94</v>
      </c>
      <c r="M267" t="s">
        <v>1291</v>
      </c>
    </row>
    <row r="268" spans="1:13" x14ac:dyDescent="0.3">
      <c r="A268" t="s">
        <v>277</v>
      </c>
      <c r="B268" s="2" t="s">
        <v>660</v>
      </c>
      <c r="C268" s="2" t="s">
        <v>1353</v>
      </c>
      <c r="D268" s="38" t="s">
        <v>786</v>
      </c>
      <c r="E268" t="s">
        <v>788</v>
      </c>
      <c r="F268" t="s">
        <v>791</v>
      </c>
      <c r="G268" s="38" t="s">
        <v>1066</v>
      </c>
      <c r="H268" s="19">
        <v>536.61</v>
      </c>
      <c r="I268" s="19">
        <v>547.02</v>
      </c>
      <c r="J268">
        <v>5</v>
      </c>
      <c r="K268">
        <v>0.2</v>
      </c>
      <c r="L268" s="19">
        <v>-10.41</v>
      </c>
      <c r="M268" t="s">
        <v>1290</v>
      </c>
    </row>
    <row r="269" spans="1:13" x14ac:dyDescent="0.3">
      <c r="A269" t="s">
        <v>278</v>
      </c>
      <c r="B269" s="2" t="s">
        <v>658</v>
      </c>
      <c r="C269" s="2" t="s">
        <v>1347</v>
      </c>
      <c r="D269" s="38" t="s">
        <v>786</v>
      </c>
      <c r="E269" t="s">
        <v>788</v>
      </c>
      <c r="F269" t="s">
        <v>796</v>
      </c>
      <c r="G269" s="38" t="s">
        <v>1067</v>
      </c>
      <c r="H269" s="19">
        <v>390.82</v>
      </c>
      <c r="I269" s="19">
        <v>341.71999999999997</v>
      </c>
      <c r="J269">
        <v>5</v>
      </c>
      <c r="K269">
        <v>0</v>
      </c>
      <c r="L269" s="19">
        <v>49.1</v>
      </c>
      <c r="M269" t="s">
        <v>1290</v>
      </c>
    </row>
    <row r="270" spans="1:13" x14ac:dyDescent="0.3">
      <c r="A270" t="s">
        <v>279</v>
      </c>
      <c r="B270" s="2" t="s">
        <v>696</v>
      </c>
      <c r="C270" s="2" t="s">
        <v>1347</v>
      </c>
      <c r="D270" s="38" t="s">
        <v>786</v>
      </c>
      <c r="E270" t="s">
        <v>788</v>
      </c>
      <c r="F270" t="s">
        <v>793</v>
      </c>
      <c r="G270" s="38" t="s">
        <v>1068</v>
      </c>
      <c r="H270" s="19">
        <v>1102.27</v>
      </c>
      <c r="I270" s="19">
        <v>1052.06</v>
      </c>
      <c r="J270">
        <v>7</v>
      </c>
      <c r="K270">
        <v>0.05</v>
      </c>
      <c r="L270" s="19">
        <v>50.21</v>
      </c>
      <c r="M270" t="s">
        <v>1289</v>
      </c>
    </row>
    <row r="271" spans="1:13" x14ac:dyDescent="0.3">
      <c r="A271" t="s">
        <v>280</v>
      </c>
      <c r="B271" s="2" t="s">
        <v>697</v>
      </c>
      <c r="C271" s="2" t="s">
        <v>1354</v>
      </c>
      <c r="D271" s="38" t="s">
        <v>783</v>
      </c>
      <c r="E271" t="s">
        <v>787</v>
      </c>
      <c r="F271" t="s">
        <v>790</v>
      </c>
      <c r="G271" s="38" t="s">
        <v>1069</v>
      </c>
      <c r="H271" s="19">
        <v>1379.51</v>
      </c>
      <c r="I271" s="19">
        <v>1131.3</v>
      </c>
      <c r="J271">
        <v>1</v>
      </c>
      <c r="K271">
        <v>0</v>
      </c>
      <c r="L271" s="19">
        <v>248.21</v>
      </c>
      <c r="M271" t="s">
        <v>1290</v>
      </c>
    </row>
    <row r="272" spans="1:13" x14ac:dyDescent="0.3">
      <c r="A272" t="s">
        <v>281</v>
      </c>
      <c r="B272" s="2" t="s">
        <v>698</v>
      </c>
      <c r="C272" s="2" t="s">
        <v>1348</v>
      </c>
      <c r="D272" s="38" t="s">
        <v>786</v>
      </c>
      <c r="E272" t="s">
        <v>789</v>
      </c>
      <c r="F272" t="s">
        <v>798</v>
      </c>
      <c r="G272" s="38" t="s">
        <v>1070</v>
      </c>
      <c r="H272" s="19">
        <v>1018.89</v>
      </c>
      <c r="I272" s="19">
        <v>1114.6299999999999</v>
      </c>
      <c r="J272">
        <v>2</v>
      </c>
      <c r="K272">
        <v>0.15</v>
      </c>
      <c r="L272" s="19">
        <v>-95.74</v>
      </c>
      <c r="M272" t="s">
        <v>1291</v>
      </c>
    </row>
    <row r="273" spans="1:13" x14ac:dyDescent="0.3">
      <c r="A273" t="s">
        <v>282</v>
      </c>
      <c r="B273" s="2" t="s">
        <v>517</v>
      </c>
      <c r="C273" s="2" t="s">
        <v>1348</v>
      </c>
      <c r="D273" s="38" t="s">
        <v>786</v>
      </c>
      <c r="E273" t="s">
        <v>787</v>
      </c>
      <c r="F273" t="s">
        <v>800</v>
      </c>
      <c r="G273" s="38" t="s">
        <v>1071</v>
      </c>
      <c r="H273" s="19">
        <v>1391.85</v>
      </c>
      <c r="I273" s="19">
        <v>1394.33</v>
      </c>
      <c r="J273">
        <v>9</v>
      </c>
      <c r="K273">
        <v>0.2</v>
      </c>
      <c r="L273" s="19">
        <v>-2.48</v>
      </c>
      <c r="M273" t="s">
        <v>1290</v>
      </c>
    </row>
    <row r="274" spans="1:13" x14ac:dyDescent="0.3">
      <c r="A274" t="s">
        <v>283</v>
      </c>
      <c r="B274" s="2" t="s">
        <v>620</v>
      </c>
      <c r="C274" s="2" t="s">
        <v>1346</v>
      </c>
      <c r="D274" s="38" t="s">
        <v>786</v>
      </c>
      <c r="E274" t="s">
        <v>789</v>
      </c>
      <c r="F274" t="s">
        <v>798</v>
      </c>
      <c r="G274" s="38" t="s">
        <v>1072</v>
      </c>
      <c r="H274" s="19">
        <v>1408.5</v>
      </c>
      <c r="I274" s="19">
        <v>1183.5</v>
      </c>
      <c r="J274">
        <v>7</v>
      </c>
      <c r="K274">
        <v>0</v>
      </c>
      <c r="L274" s="19">
        <v>225</v>
      </c>
      <c r="M274" t="s">
        <v>1291</v>
      </c>
    </row>
    <row r="275" spans="1:13" x14ac:dyDescent="0.3">
      <c r="A275" t="s">
        <v>284</v>
      </c>
      <c r="B275" s="2" t="s">
        <v>564</v>
      </c>
      <c r="C275" s="2" t="s">
        <v>1344</v>
      </c>
      <c r="D275" s="38" t="s">
        <v>784</v>
      </c>
      <c r="E275" t="s">
        <v>788</v>
      </c>
      <c r="F275" t="s">
        <v>795</v>
      </c>
      <c r="G275" s="38" t="s">
        <v>1073</v>
      </c>
      <c r="H275" s="19">
        <v>229.58</v>
      </c>
      <c r="I275" s="19">
        <v>228.72</v>
      </c>
      <c r="J275">
        <v>1</v>
      </c>
      <c r="K275">
        <v>0.1</v>
      </c>
      <c r="L275" s="19">
        <v>0.86</v>
      </c>
      <c r="M275" t="s">
        <v>1290</v>
      </c>
    </row>
    <row r="276" spans="1:13" x14ac:dyDescent="0.3">
      <c r="A276" t="s">
        <v>285</v>
      </c>
      <c r="B276" s="2" t="s">
        <v>631</v>
      </c>
      <c r="C276" s="2" t="s">
        <v>1347</v>
      </c>
      <c r="D276" s="38" t="s">
        <v>785</v>
      </c>
      <c r="E276" t="s">
        <v>788</v>
      </c>
      <c r="F276" t="s">
        <v>791</v>
      </c>
      <c r="G276" s="38" t="s">
        <v>1074</v>
      </c>
      <c r="H276" s="19">
        <v>1875.93</v>
      </c>
      <c r="I276" s="19">
        <v>1768.5500000000002</v>
      </c>
      <c r="J276">
        <v>4</v>
      </c>
      <c r="K276">
        <v>0</v>
      </c>
      <c r="L276" s="19">
        <v>107.38</v>
      </c>
      <c r="M276" t="s">
        <v>1290</v>
      </c>
    </row>
    <row r="277" spans="1:13" x14ac:dyDescent="0.3">
      <c r="A277" t="s">
        <v>286</v>
      </c>
      <c r="B277" s="2" t="s">
        <v>699</v>
      </c>
      <c r="C277" s="2" t="s">
        <v>1349</v>
      </c>
      <c r="D277" s="38" t="s">
        <v>786</v>
      </c>
      <c r="E277" t="s">
        <v>789</v>
      </c>
      <c r="F277" t="s">
        <v>799</v>
      </c>
      <c r="G277" s="38" t="s">
        <v>1075</v>
      </c>
      <c r="H277" s="19">
        <v>1546.89</v>
      </c>
      <c r="I277" s="19">
        <v>1593.26</v>
      </c>
      <c r="J277">
        <v>10</v>
      </c>
      <c r="K277">
        <v>0.2</v>
      </c>
      <c r="L277" s="19">
        <v>-46.37</v>
      </c>
      <c r="M277" t="s">
        <v>1289</v>
      </c>
    </row>
    <row r="278" spans="1:13" x14ac:dyDescent="0.3">
      <c r="A278" t="s">
        <v>287</v>
      </c>
      <c r="B278" s="2" t="s">
        <v>610</v>
      </c>
      <c r="C278" s="2" t="s">
        <v>1351</v>
      </c>
      <c r="D278" s="38" t="s">
        <v>783</v>
      </c>
      <c r="E278" t="s">
        <v>787</v>
      </c>
      <c r="F278" t="s">
        <v>790</v>
      </c>
      <c r="G278" s="38" t="s">
        <v>1076</v>
      </c>
      <c r="H278" s="19">
        <v>358.37</v>
      </c>
      <c r="I278" s="19">
        <v>341.73</v>
      </c>
      <c r="J278">
        <v>7</v>
      </c>
      <c r="K278">
        <v>0.1</v>
      </c>
      <c r="L278" s="19">
        <v>16.64</v>
      </c>
      <c r="M278" t="s">
        <v>1291</v>
      </c>
    </row>
    <row r="279" spans="1:13" x14ac:dyDescent="0.3">
      <c r="A279" t="s">
        <v>288</v>
      </c>
      <c r="B279" s="2" t="s">
        <v>692</v>
      </c>
      <c r="C279" s="2" t="s">
        <v>1345</v>
      </c>
      <c r="D279" s="38" t="s">
        <v>786</v>
      </c>
      <c r="E279" t="s">
        <v>787</v>
      </c>
      <c r="F279" t="s">
        <v>800</v>
      </c>
      <c r="G279" s="38" t="s">
        <v>1077</v>
      </c>
      <c r="H279" s="19">
        <v>1119.1099999999999</v>
      </c>
      <c r="I279" s="19">
        <v>800.08999999999992</v>
      </c>
      <c r="J279">
        <v>3</v>
      </c>
      <c r="K279">
        <v>0</v>
      </c>
      <c r="L279" s="19">
        <v>319.02</v>
      </c>
      <c r="M279" t="s">
        <v>1289</v>
      </c>
    </row>
    <row r="280" spans="1:13" x14ac:dyDescent="0.3">
      <c r="A280" t="s">
        <v>289</v>
      </c>
      <c r="B280" s="2" t="s">
        <v>700</v>
      </c>
      <c r="C280" s="2" t="s">
        <v>1348</v>
      </c>
      <c r="D280" s="38" t="s">
        <v>783</v>
      </c>
      <c r="E280" t="s">
        <v>788</v>
      </c>
      <c r="F280" t="s">
        <v>791</v>
      </c>
      <c r="G280" s="38" t="s">
        <v>1078</v>
      </c>
      <c r="H280" s="19">
        <v>856.21</v>
      </c>
      <c r="I280" s="19">
        <v>880.80000000000007</v>
      </c>
      <c r="J280">
        <v>4</v>
      </c>
      <c r="K280">
        <v>0.1</v>
      </c>
      <c r="L280" s="19">
        <v>-24.59</v>
      </c>
      <c r="M280" t="s">
        <v>1290</v>
      </c>
    </row>
    <row r="281" spans="1:13" x14ac:dyDescent="0.3">
      <c r="A281" t="s">
        <v>290</v>
      </c>
      <c r="B281" s="2" t="s">
        <v>592</v>
      </c>
      <c r="C281" s="2" t="s">
        <v>1348</v>
      </c>
      <c r="D281" s="38" t="s">
        <v>784</v>
      </c>
      <c r="E281" t="s">
        <v>789</v>
      </c>
      <c r="F281" t="s">
        <v>798</v>
      </c>
      <c r="G281" s="38" t="s">
        <v>1079</v>
      </c>
      <c r="H281" s="19">
        <v>1351.04</v>
      </c>
      <c r="I281" s="19">
        <v>1411.78</v>
      </c>
      <c r="J281">
        <v>7</v>
      </c>
      <c r="K281">
        <v>0.1</v>
      </c>
      <c r="L281" s="19">
        <v>-60.74</v>
      </c>
      <c r="M281" t="s">
        <v>1291</v>
      </c>
    </row>
    <row r="282" spans="1:13" x14ac:dyDescent="0.3">
      <c r="A282" t="s">
        <v>291</v>
      </c>
      <c r="B282" s="2" t="s">
        <v>701</v>
      </c>
      <c r="C282" s="2" t="s">
        <v>1347</v>
      </c>
      <c r="D282" s="38" t="s">
        <v>783</v>
      </c>
      <c r="E282" t="s">
        <v>788</v>
      </c>
      <c r="F282" t="s">
        <v>793</v>
      </c>
      <c r="G282" s="38" t="s">
        <v>1080</v>
      </c>
      <c r="H282" s="19">
        <v>1430.66</v>
      </c>
      <c r="I282" s="19">
        <v>1225.8200000000002</v>
      </c>
      <c r="J282">
        <v>5</v>
      </c>
      <c r="K282">
        <v>0.15</v>
      </c>
      <c r="L282" s="19">
        <v>204.84</v>
      </c>
      <c r="M282" t="s">
        <v>1291</v>
      </c>
    </row>
    <row r="283" spans="1:13" x14ac:dyDescent="0.3">
      <c r="A283" t="s">
        <v>292</v>
      </c>
      <c r="B283" s="2" t="s">
        <v>626</v>
      </c>
      <c r="C283" s="2" t="s">
        <v>1344</v>
      </c>
      <c r="D283" s="38" t="s">
        <v>786</v>
      </c>
      <c r="E283" t="s">
        <v>789</v>
      </c>
      <c r="F283" t="s">
        <v>794</v>
      </c>
      <c r="G283" s="38" t="s">
        <v>1081</v>
      </c>
      <c r="H283" s="19">
        <v>887.56</v>
      </c>
      <c r="I283" s="19">
        <v>789.33999999999992</v>
      </c>
      <c r="J283">
        <v>10</v>
      </c>
      <c r="K283">
        <v>0.05</v>
      </c>
      <c r="L283" s="19">
        <v>98.22</v>
      </c>
      <c r="M283" t="s">
        <v>1289</v>
      </c>
    </row>
    <row r="284" spans="1:13" x14ac:dyDescent="0.3">
      <c r="A284" t="s">
        <v>293</v>
      </c>
      <c r="B284" s="2" t="s">
        <v>702</v>
      </c>
      <c r="C284" s="2" t="s">
        <v>1350</v>
      </c>
      <c r="D284" s="38" t="s">
        <v>783</v>
      </c>
      <c r="E284" t="s">
        <v>788</v>
      </c>
      <c r="F284" t="s">
        <v>791</v>
      </c>
      <c r="G284" s="38" t="s">
        <v>1082</v>
      </c>
      <c r="H284" s="19">
        <v>229.47</v>
      </c>
      <c r="I284" s="19">
        <v>216.91</v>
      </c>
      <c r="J284">
        <v>3</v>
      </c>
      <c r="K284">
        <v>0</v>
      </c>
      <c r="L284" s="19">
        <v>12.56</v>
      </c>
      <c r="M284" t="s">
        <v>1291</v>
      </c>
    </row>
    <row r="285" spans="1:13" x14ac:dyDescent="0.3">
      <c r="A285" t="s">
        <v>294</v>
      </c>
      <c r="B285" s="2" t="s">
        <v>703</v>
      </c>
      <c r="C285" s="2" t="s">
        <v>1346</v>
      </c>
      <c r="D285" s="38" t="s">
        <v>785</v>
      </c>
      <c r="E285" t="s">
        <v>789</v>
      </c>
      <c r="F285" t="s">
        <v>794</v>
      </c>
      <c r="G285" s="38" t="s">
        <v>1083</v>
      </c>
      <c r="H285" s="19">
        <v>186.28</v>
      </c>
      <c r="I285" s="19">
        <v>194.44</v>
      </c>
      <c r="J285">
        <v>1</v>
      </c>
      <c r="K285">
        <v>0.2</v>
      </c>
      <c r="L285" s="19">
        <v>-8.16</v>
      </c>
      <c r="M285" t="s">
        <v>1291</v>
      </c>
    </row>
    <row r="286" spans="1:13" x14ac:dyDescent="0.3">
      <c r="A286" t="s">
        <v>295</v>
      </c>
      <c r="B286" s="2" t="s">
        <v>583</v>
      </c>
      <c r="C286" s="2" t="s">
        <v>1343</v>
      </c>
      <c r="D286" s="38" t="s">
        <v>783</v>
      </c>
      <c r="E286" t="s">
        <v>787</v>
      </c>
      <c r="F286" t="s">
        <v>792</v>
      </c>
      <c r="G286" s="38" t="s">
        <v>1084</v>
      </c>
      <c r="H286" s="19">
        <v>1310.23</v>
      </c>
      <c r="I286" s="19">
        <v>1069.25</v>
      </c>
      <c r="J286">
        <v>7</v>
      </c>
      <c r="K286">
        <v>0.1</v>
      </c>
      <c r="L286" s="19">
        <v>240.98</v>
      </c>
      <c r="M286" t="s">
        <v>1290</v>
      </c>
    </row>
    <row r="287" spans="1:13" x14ac:dyDescent="0.3">
      <c r="A287" t="s">
        <v>296</v>
      </c>
      <c r="B287" s="2" t="s">
        <v>664</v>
      </c>
      <c r="C287" s="2" t="s">
        <v>1349</v>
      </c>
      <c r="D287" s="38" t="s">
        <v>785</v>
      </c>
      <c r="E287" t="s">
        <v>788</v>
      </c>
      <c r="F287" t="s">
        <v>796</v>
      </c>
      <c r="G287" s="38" t="s">
        <v>1085</v>
      </c>
      <c r="H287" s="19">
        <v>1603.58</v>
      </c>
      <c r="I287" s="19">
        <v>1434.75</v>
      </c>
      <c r="J287">
        <v>8</v>
      </c>
      <c r="K287">
        <v>0</v>
      </c>
      <c r="L287" s="19">
        <v>168.83</v>
      </c>
      <c r="M287" t="s">
        <v>1289</v>
      </c>
    </row>
    <row r="288" spans="1:13" x14ac:dyDescent="0.3">
      <c r="A288" t="s">
        <v>297</v>
      </c>
      <c r="B288" s="2" t="s">
        <v>704</v>
      </c>
      <c r="C288" s="2" t="s">
        <v>1349</v>
      </c>
      <c r="D288" s="38" t="s">
        <v>784</v>
      </c>
      <c r="E288" t="s">
        <v>789</v>
      </c>
      <c r="F288" t="s">
        <v>797</v>
      </c>
      <c r="G288" s="38" t="s">
        <v>1086</v>
      </c>
      <c r="H288" s="19">
        <v>894.81</v>
      </c>
      <c r="I288" s="19">
        <v>729.25</v>
      </c>
      <c r="J288">
        <v>10</v>
      </c>
      <c r="K288">
        <v>0.1</v>
      </c>
      <c r="L288" s="19">
        <v>165.56</v>
      </c>
      <c r="M288" t="s">
        <v>1291</v>
      </c>
    </row>
    <row r="289" spans="1:13" x14ac:dyDescent="0.3">
      <c r="A289" t="s">
        <v>298</v>
      </c>
      <c r="B289" s="2" t="s">
        <v>705</v>
      </c>
      <c r="C289" s="2" t="s">
        <v>1343</v>
      </c>
      <c r="D289" s="38" t="s">
        <v>785</v>
      </c>
      <c r="E289" t="s">
        <v>789</v>
      </c>
      <c r="F289" t="s">
        <v>798</v>
      </c>
      <c r="G289" s="38" t="s">
        <v>1087</v>
      </c>
      <c r="H289" s="19">
        <v>308.42</v>
      </c>
      <c r="I289" s="19">
        <v>267.46000000000004</v>
      </c>
      <c r="J289">
        <v>6</v>
      </c>
      <c r="K289">
        <v>0.05</v>
      </c>
      <c r="L289" s="19">
        <v>40.96</v>
      </c>
      <c r="M289" t="s">
        <v>1291</v>
      </c>
    </row>
    <row r="290" spans="1:13" x14ac:dyDescent="0.3">
      <c r="A290" t="s">
        <v>299</v>
      </c>
      <c r="B290" s="2" t="s">
        <v>664</v>
      </c>
      <c r="C290" s="2" t="s">
        <v>1349</v>
      </c>
      <c r="D290" s="38" t="s">
        <v>785</v>
      </c>
      <c r="E290" t="s">
        <v>788</v>
      </c>
      <c r="F290" t="s">
        <v>793</v>
      </c>
      <c r="G290" s="38" t="s">
        <v>1088</v>
      </c>
      <c r="H290" s="19">
        <v>557.88</v>
      </c>
      <c r="I290" s="19">
        <v>471.87</v>
      </c>
      <c r="J290">
        <v>6</v>
      </c>
      <c r="K290">
        <v>0</v>
      </c>
      <c r="L290" s="19">
        <v>86.01</v>
      </c>
      <c r="M290" t="s">
        <v>1289</v>
      </c>
    </row>
    <row r="291" spans="1:13" x14ac:dyDescent="0.3">
      <c r="A291" t="s">
        <v>300</v>
      </c>
      <c r="B291" s="2" t="s">
        <v>706</v>
      </c>
      <c r="C291" s="2" t="s">
        <v>1344</v>
      </c>
      <c r="D291" s="38" t="s">
        <v>786</v>
      </c>
      <c r="E291" t="s">
        <v>788</v>
      </c>
      <c r="F291" t="s">
        <v>793</v>
      </c>
      <c r="G291" s="38" t="s">
        <v>1089</v>
      </c>
      <c r="H291" s="19">
        <v>1149.3499999999999</v>
      </c>
      <c r="I291" s="19">
        <v>1305.1499999999999</v>
      </c>
      <c r="J291">
        <v>4</v>
      </c>
      <c r="K291">
        <v>0.2</v>
      </c>
      <c r="L291" s="19">
        <v>-155.80000000000001</v>
      </c>
      <c r="M291" t="s">
        <v>1289</v>
      </c>
    </row>
    <row r="292" spans="1:13" x14ac:dyDescent="0.3">
      <c r="A292" t="s">
        <v>301</v>
      </c>
      <c r="B292" s="2" t="s">
        <v>687</v>
      </c>
      <c r="C292" s="2" t="s">
        <v>1349</v>
      </c>
      <c r="D292" s="38" t="s">
        <v>783</v>
      </c>
      <c r="E292" t="s">
        <v>788</v>
      </c>
      <c r="F292" t="s">
        <v>793</v>
      </c>
      <c r="G292" s="38" t="s">
        <v>1090</v>
      </c>
      <c r="H292" s="19">
        <v>1526.21</v>
      </c>
      <c r="I292" s="19">
        <v>1169.77</v>
      </c>
      <c r="J292">
        <v>2</v>
      </c>
      <c r="K292">
        <v>0</v>
      </c>
      <c r="L292" s="19">
        <v>356.44</v>
      </c>
      <c r="M292" t="s">
        <v>1290</v>
      </c>
    </row>
    <row r="293" spans="1:13" x14ac:dyDescent="0.3">
      <c r="A293" t="s">
        <v>302</v>
      </c>
      <c r="B293" s="2" t="s">
        <v>633</v>
      </c>
      <c r="C293" s="2" t="s">
        <v>1353</v>
      </c>
      <c r="D293" s="38" t="s">
        <v>785</v>
      </c>
      <c r="E293" t="s">
        <v>788</v>
      </c>
      <c r="F293" t="s">
        <v>793</v>
      </c>
      <c r="G293" s="38" t="s">
        <v>1091</v>
      </c>
      <c r="H293" s="19">
        <v>1042.45</v>
      </c>
      <c r="I293" s="19">
        <v>938.46</v>
      </c>
      <c r="J293">
        <v>3</v>
      </c>
      <c r="K293">
        <v>0.2</v>
      </c>
      <c r="L293" s="19">
        <v>103.99</v>
      </c>
      <c r="M293" t="s">
        <v>1291</v>
      </c>
    </row>
    <row r="294" spans="1:13" x14ac:dyDescent="0.3">
      <c r="A294" t="s">
        <v>303</v>
      </c>
      <c r="B294" s="2" t="s">
        <v>707</v>
      </c>
      <c r="C294" s="2" t="s">
        <v>1348</v>
      </c>
      <c r="D294" s="38" t="s">
        <v>785</v>
      </c>
      <c r="E294" t="s">
        <v>789</v>
      </c>
      <c r="F294" t="s">
        <v>794</v>
      </c>
      <c r="G294" s="38" t="s">
        <v>1092</v>
      </c>
      <c r="H294" s="19">
        <v>1103.45</v>
      </c>
      <c r="I294" s="19">
        <v>984.52</v>
      </c>
      <c r="J294">
        <v>7</v>
      </c>
      <c r="K294">
        <v>0.15</v>
      </c>
      <c r="L294" s="19">
        <v>118.93</v>
      </c>
      <c r="M294" t="s">
        <v>1289</v>
      </c>
    </row>
    <row r="295" spans="1:13" x14ac:dyDescent="0.3">
      <c r="A295" t="s">
        <v>304</v>
      </c>
      <c r="B295" s="2" t="s">
        <v>708</v>
      </c>
      <c r="C295" s="2" t="s">
        <v>1352</v>
      </c>
      <c r="D295" s="38" t="s">
        <v>783</v>
      </c>
      <c r="E295" t="s">
        <v>789</v>
      </c>
      <c r="F295" t="s">
        <v>794</v>
      </c>
      <c r="G295" s="38" t="s">
        <v>1093</v>
      </c>
      <c r="H295" s="19">
        <v>1770.08</v>
      </c>
      <c r="I295" s="19">
        <v>1845.6299999999999</v>
      </c>
      <c r="J295">
        <v>1</v>
      </c>
      <c r="K295">
        <v>0.1</v>
      </c>
      <c r="L295" s="19">
        <v>-75.55</v>
      </c>
      <c r="M295" t="s">
        <v>1291</v>
      </c>
    </row>
    <row r="296" spans="1:13" x14ac:dyDescent="0.3">
      <c r="A296" t="s">
        <v>305</v>
      </c>
      <c r="B296" s="2" t="s">
        <v>640</v>
      </c>
      <c r="C296" s="2" t="s">
        <v>1346</v>
      </c>
      <c r="D296" s="38" t="s">
        <v>784</v>
      </c>
      <c r="E296" t="s">
        <v>789</v>
      </c>
      <c r="F296" t="s">
        <v>794</v>
      </c>
      <c r="G296" s="38" t="s">
        <v>1094</v>
      </c>
      <c r="H296" s="19">
        <v>371.99</v>
      </c>
      <c r="I296" s="19">
        <v>382.89</v>
      </c>
      <c r="J296">
        <v>9</v>
      </c>
      <c r="K296">
        <v>0.1</v>
      </c>
      <c r="L296" s="19">
        <v>-10.9</v>
      </c>
      <c r="M296" t="s">
        <v>1290</v>
      </c>
    </row>
    <row r="297" spans="1:13" x14ac:dyDescent="0.3">
      <c r="A297" t="s">
        <v>306</v>
      </c>
      <c r="B297" s="2" t="s">
        <v>526</v>
      </c>
      <c r="C297" s="2" t="s">
        <v>1354</v>
      </c>
      <c r="D297" s="38" t="s">
        <v>786</v>
      </c>
      <c r="E297" t="s">
        <v>787</v>
      </c>
      <c r="F297" t="s">
        <v>800</v>
      </c>
      <c r="G297" s="38" t="s">
        <v>1095</v>
      </c>
      <c r="H297" s="19">
        <v>182.52</v>
      </c>
      <c r="I297" s="19">
        <v>192.28</v>
      </c>
      <c r="J297">
        <v>4</v>
      </c>
      <c r="K297">
        <v>0.15</v>
      </c>
      <c r="L297" s="19">
        <v>-9.76</v>
      </c>
      <c r="M297" t="s">
        <v>1290</v>
      </c>
    </row>
    <row r="298" spans="1:13" x14ac:dyDescent="0.3">
      <c r="A298" t="s">
        <v>307</v>
      </c>
      <c r="B298" s="2" t="s">
        <v>709</v>
      </c>
      <c r="C298" s="2" t="s">
        <v>1347</v>
      </c>
      <c r="D298" s="38" t="s">
        <v>786</v>
      </c>
      <c r="E298" t="s">
        <v>789</v>
      </c>
      <c r="F298" t="s">
        <v>797</v>
      </c>
      <c r="G298" s="38" t="s">
        <v>1096</v>
      </c>
      <c r="H298" s="19">
        <v>881.17</v>
      </c>
      <c r="I298" s="19">
        <v>715.39</v>
      </c>
      <c r="J298">
        <v>3</v>
      </c>
      <c r="K298">
        <v>0</v>
      </c>
      <c r="L298" s="19">
        <v>165.78</v>
      </c>
      <c r="M298" t="s">
        <v>1289</v>
      </c>
    </row>
    <row r="299" spans="1:13" x14ac:dyDescent="0.3">
      <c r="A299" t="s">
        <v>308</v>
      </c>
      <c r="B299" s="2" t="s">
        <v>710</v>
      </c>
      <c r="C299" s="2" t="s">
        <v>1350</v>
      </c>
      <c r="D299" s="38" t="s">
        <v>785</v>
      </c>
      <c r="E299" t="s">
        <v>787</v>
      </c>
      <c r="F299" t="s">
        <v>800</v>
      </c>
      <c r="G299" s="38" t="s">
        <v>915</v>
      </c>
      <c r="H299" s="19">
        <v>431.25</v>
      </c>
      <c r="I299" s="19">
        <v>386.56</v>
      </c>
      <c r="J299">
        <v>1</v>
      </c>
      <c r="K299">
        <v>0.15</v>
      </c>
      <c r="L299" s="19">
        <v>44.69</v>
      </c>
      <c r="M299" t="s">
        <v>1291</v>
      </c>
    </row>
    <row r="300" spans="1:13" x14ac:dyDescent="0.3">
      <c r="A300" t="s">
        <v>309</v>
      </c>
      <c r="B300" s="2" t="s">
        <v>711</v>
      </c>
      <c r="C300" s="2" t="s">
        <v>1351</v>
      </c>
      <c r="D300" s="38" t="s">
        <v>783</v>
      </c>
      <c r="E300" t="s">
        <v>788</v>
      </c>
      <c r="F300" t="s">
        <v>796</v>
      </c>
      <c r="G300" s="38" t="s">
        <v>1097</v>
      </c>
      <c r="H300" s="19">
        <v>334.41</v>
      </c>
      <c r="I300" s="19">
        <v>252.90000000000003</v>
      </c>
      <c r="J300">
        <v>10</v>
      </c>
      <c r="K300">
        <v>0</v>
      </c>
      <c r="L300" s="19">
        <v>81.510000000000005</v>
      </c>
      <c r="M300" t="s">
        <v>1289</v>
      </c>
    </row>
    <row r="301" spans="1:13" x14ac:dyDescent="0.3">
      <c r="A301" t="s">
        <v>310</v>
      </c>
      <c r="B301" s="2" t="s">
        <v>674</v>
      </c>
      <c r="C301" s="2" t="s">
        <v>1343</v>
      </c>
      <c r="D301" s="38" t="s">
        <v>784</v>
      </c>
      <c r="E301" t="s">
        <v>789</v>
      </c>
      <c r="F301" t="s">
        <v>798</v>
      </c>
      <c r="G301" s="38" t="s">
        <v>1098</v>
      </c>
      <c r="H301" s="19">
        <v>259.27</v>
      </c>
      <c r="I301" s="19">
        <v>291.83999999999997</v>
      </c>
      <c r="J301">
        <v>3</v>
      </c>
      <c r="K301">
        <v>0.2</v>
      </c>
      <c r="L301" s="19">
        <v>-32.57</v>
      </c>
      <c r="M301" t="s">
        <v>1289</v>
      </c>
    </row>
    <row r="302" spans="1:13" x14ac:dyDescent="0.3">
      <c r="A302" t="s">
        <v>311</v>
      </c>
      <c r="B302" s="2" t="s">
        <v>712</v>
      </c>
      <c r="C302" s="2" t="s">
        <v>1350</v>
      </c>
      <c r="D302" s="38" t="s">
        <v>785</v>
      </c>
      <c r="E302" t="s">
        <v>788</v>
      </c>
      <c r="F302" t="s">
        <v>793</v>
      </c>
      <c r="G302" s="38" t="s">
        <v>1099</v>
      </c>
      <c r="H302" s="19">
        <v>187.32</v>
      </c>
      <c r="I302" s="19">
        <v>152.35999999999999</v>
      </c>
      <c r="J302">
        <v>6</v>
      </c>
      <c r="K302">
        <v>0</v>
      </c>
      <c r="L302" s="19">
        <v>34.96</v>
      </c>
      <c r="M302" t="s">
        <v>1291</v>
      </c>
    </row>
    <row r="303" spans="1:13" x14ac:dyDescent="0.3">
      <c r="A303" t="s">
        <v>312</v>
      </c>
      <c r="B303" s="2" t="s">
        <v>713</v>
      </c>
      <c r="C303" s="2" t="s">
        <v>1347</v>
      </c>
      <c r="D303" s="38" t="s">
        <v>783</v>
      </c>
      <c r="E303" t="s">
        <v>787</v>
      </c>
      <c r="F303" t="s">
        <v>792</v>
      </c>
      <c r="G303" s="38" t="s">
        <v>1100</v>
      </c>
      <c r="H303" s="19">
        <v>1920.91</v>
      </c>
      <c r="I303" s="19">
        <v>2089.67</v>
      </c>
      <c r="J303">
        <v>6</v>
      </c>
      <c r="K303">
        <v>0.15</v>
      </c>
      <c r="L303" s="19">
        <v>-168.76</v>
      </c>
      <c r="M303" t="s">
        <v>1289</v>
      </c>
    </row>
    <row r="304" spans="1:13" x14ac:dyDescent="0.3">
      <c r="A304" t="s">
        <v>313</v>
      </c>
      <c r="B304" s="2" t="s">
        <v>658</v>
      </c>
      <c r="C304" s="2" t="s">
        <v>1347</v>
      </c>
      <c r="D304" s="38" t="s">
        <v>785</v>
      </c>
      <c r="E304" t="s">
        <v>788</v>
      </c>
      <c r="F304" t="s">
        <v>791</v>
      </c>
      <c r="G304" s="38" t="s">
        <v>1101</v>
      </c>
      <c r="H304" s="19">
        <v>1704.02</v>
      </c>
      <c r="I304" s="19">
        <v>1649.08</v>
      </c>
      <c r="J304">
        <v>7</v>
      </c>
      <c r="K304">
        <v>0.2</v>
      </c>
      <c r="L304" s="19">
        <v>54.94</v>
      </c>
      <c r="M304" t="s">
        <v>1291</v>
      </c>
    </row>
    <row r="305" spans="1:13" x14ac:dyDescent="0.3">
      <c r="A305" t="s">
        <v>314</v>
      </c>
      <c r="B305" s="2" t="s">
        <v>714</v>
      </c>
      <c r="C305" s="2" t="s">
        <v>1346</v>
      </c>
      <c r="D305" s="38" t="s">
        <v>783</v>
      </c>
      <c r="E305" t="s">
        <v>787</v>
      </c>
      <c r="F305" t="s">
        <v>792</v>
      </c>
      <c r="G305" s="38" t="s">
        <v>1102</v>
      </c>
      <c r="H305" s="19">
        <v>920.6</v>
      </c>
      <c r="I305" s="19">
        <v>985.29</v>
      </c>
      <c r="J305">
        <v>2</v>
      </c>
      <c r="K305">
        <v>0.2</v>
      </c>
      <c r="L305" s="19">
        <v>-64.69</v>
      </c>
      <c r="M305" t="s">
        <v>1290</v>
      </c>
    </row>
    <row r="306" spans="1:13" x14ac:dyDescent="0.3">
      <c r="A306" t="s">
        <v>315</v>
      </c>
      <c r="B306" s="2" t="s">
        <v>715</v>
      </c>
      <c r="C306" s="2" t="s">
        <v>1347</v>
      </c>
      <c r="D306" s="38" t="s">
        <v>783</v>
      </c>
      <c r="E306" t="s">
        <v>787</v>
      </c>
      <c r="F306" t="s">
        <v>801</v>
      </c>
      <c r="G306" s="38" t="s">
        <v>1103</v>
      </c>
      <c r="H306" s="19">
        <v>808.35</v>
      </c>
      <c r="I306" s="19">
        <v>691.04</v>
      </c>
      <c r="J306">
        <v>7</v>
      </c>
      <c r="K306">
        <v>0.1</v>
      </c>
      <c r="L306" s="19">
        <v>117.31</v>
      </c>
      <c r="M306" t="s">
        <v>1289</v>
      </c>
    </row>
    <row r="307" spans="1:13" x14ac:dyDescent="0.3">
      <c r="A307" t="s">
        <v>316</v>
      </c>
      <c r="B307" s="2" t="s">
        <v>716</v>
      </c>
      <c r="C307" s="2" t="s">
        <v>1345</v>
      </c>
      <c r="D307" s="38" t="s">
        <v>784</v>
      </c>
      <c r="E307" t="s">
        <v>787</v>
      </c>
      <c r="F307" t="s">
        <v>790</v>
      </c>
      <c r="G307" s="38" t="s">
        <v>1104</v>
      </c>
      <c r="H307" s="19">
        <v>1758.46</v>
      </c>
      <c r="I307" s="19">
        <v>1644.2</v>
      </c>
      <c r="J307">
        <v>2</v>
      </c>
      <c r="K307">
        <v>0</v>
      </c>
      <c r="L307" s="19">
        <v>114.26</v>
      </c>
      <c r="M307" t="s">
        <v>1290</v>
      </c>
    </row>
    <row r="308" spans="1:13" x14ac:dyDescent="0.3">
      <c r="A308" t="s">
        <v>317</v>
      </c>
      <c r="B308" s="2" t="s">
        <v>592</v>
      </c>
      <c r="C308" s="2" t="s">
        <v>1348</v>
      </c>
      <c r="D308" s="38" t="s">
        <v>784</v>
      </c>
      <c r="E308" t="s">
        <v>787</v>
      </c>
      <c r="F308" t="s">
        <v>792</v>
      </c>
      <c r="G308" s="38" t="s">
        <v>1105</v>
      </c>
      <c r="H308" s="19">
        <v>973.14</v>
      </c>
      <c r="I308" s="19">
        <v>883.86</v>
      </c>
      <c r="J308">
        <v>3</v>
      </c>
      <c r="K308">
        <v>0</v>
      </c>
      <c r="L308" s="19">
        <v>89.28</v>
      </c>
      <c r="M308" t="s">
        <v>1290</v>
      </c>
    </row>
    <row r="309" spans="1:13" x14ac:dyDescent="0.3">
      <c r="A309" t="s">
        <v>318</v>
      </c>
      <c r="B309" s="2" t="s">
        <v>717</v>
      </c>
      <c r="C309" s="2" t="s">
        <v>1348</v>
      </c>
      <c r="D309" s="38" t="s">
        <v>783</v>
      </c>
      <c r="E309" t="s">
        <v>789</v>
      </c>
      <c r="F309" t="s">
        <v>794</v>
      </c>
      <c r="G309" s="38" t="s">
        <v>1106</v>
      </c>
      <c r="H309" s="19">
        <v>564.22</v>
      </c>
      <c r="I309" s="19">
        <v>524.06000000000006</v>
      </c>
      <c r="J309">
        <v>9</v>
      </c>
      <c r="K309">
        <v>0</v>
      </c>
      <c r="L309" s="19">
        <v>40.159999999999997</v>
      </c>
      <c r="M309" t="s">
        <v>1291</v>
      </c>
    </row>
    <row r="310" spans="1:13" x14ac:dyDescent="0.3">
      <c r="A310" t="s">
        <v>319</v>
      </c>
      <c r="B310" s="2" t="s">
        <v>718</v>
      </c>
      <c r="C310" s="2" t="s">
        <v>1345</v>
      </c>
      <c r="D310" s="38" t="s">
        <v>783</v>
      </c>
      <c r="E310" t="s">
        <v>787</v>
      </c>
      <c r="F310" t="s">
        <v>800</v>
      </c>
      <c r="G310" s="38" t="s">
        <v>1107</v>
      </c>
      <c r="H310" s="19">
        <v>1561.99</v>
      </c>
      <c r="I310" s="19">
        <v>1482.96</v>
      </c>
      <c r="J310">
        <v>4</v>
      </c>
      <c r="K310">
        <v>0.15</v>
      </c>
      <c r="L310" s="19">
        <v>79.03</v>
      </c>
      <c r="M310" t="s">
        <v>1289</v>
      </c>
    </row>
    <row r="311" spans="1:13" x14ac:dyDescent="0.3">
      <c r="A311" t="s">
        <v>320</v>
      </c>
      <c r="B311" s="2" t="s">
        <v>552</v>
      </c>
      <c r="C311" s="2" t="s">
        <v>1349</v>
      </c>
      <c r="D311" s="38" t="s">
        <v>784</v>
      </c>
      <c r="E311" t="s">
        <v>788</v>
      </c>
      <c r="F311" t="s">
        <v>796</v>
      </c>
      <c r="G311" s="38" t="s">
        <v>1108</v>
      </c>
      <c r="H311" s="19">
        <v>1394.07</v>
      </c>
      <c r="I311" s="19">
        <v>1456.2</v>
      </c>
      <c r="J311">
        <v>3</v>
      </c>
      <c r="K311">
        <v>0.1</v>
      </c>
      <c r="L311" s="19">
        <v>-62.13</v>
      </c>
      <c r="M311" t="s">
        <v>1289</v>
      </c>
    </row>
    <row r="312" spans="1:13" x14ac:dyDescent="0.3">
      <c r="A312" t="s">
        <v>321</v>
      </c>
      <c r="B312" s="2" t="s">
        <v>719</v>
      </c>
      <c r="C312" s="2" t="s">
        <v>1346</v>
      </c>
      <c r="D312" s="38" t="s">
        <v>783</v>
      </c>
      <c r="E312" t="s">
        <v>788</v>
      </c>
      <c r="F312" t="s">
        <v>795</v>
      </c>
      <c r="G312" s="38" t="s">
        <v>1109</v>
      </c>
      <c r="H312" s="19">
        <v>311.36</v>
      </c>
      <c r="I312" s="19">
        <v>290.74</v>
      </c>
      <c r="J312">
        <v>3</v>
      </c>
      <c r="K312">
        <v>0.2</v>
      </c>
      <c r="L312" s="19">
        <v>20.62</v>
      </c>
      <c r="M312" t="s">
        <v>1290</v>
      </c>
    </row>
    <row r="313" spans="1:13" x14ac:dyDescent="0.3">
      <c r="A313" t="s">
        <v>322</v>
      </c>
      <c r="B313" s="2" t="s">
        <v>575</v>
      </c>
      <c r="C313" s="2" t="s">
        <v>1353</v>
      </c>
      <c r="D313" s="38" t="s">
        <v>786</v>
      </c>
      <c r="E313" t="s">
        <v>787</v>
      </c>
      <c r="F313" t="s">
        <v>790</v>
      </c>
      <c r="G313" s="38" t="s">
        <v>1110</v>
      </c>
      <c r="H313" s="19">
        <v>629.44000000000005</v>
      </c>
      <c r="I313" s="19">
        <v>598.94000000000005</v>
      </c>
      <c r="J313">
        <v>4</v>
      </c>
      <c r="K313">
        <v>0.1</v>
      </c>
      <c r="L313" s="19">
        <v>30.5</v>
      </c>
      <c r="M313" t="s">
        <v>1291</v>
      </c>
    </row>
    <row r="314" spans="1:13" x14ac:dyDescent="0.3">
      <c r="A314" t="s">
        <v>323</v>
      </c>
      <c r="B314" s="2" t="s">
        <v>533</v>
      </c>
      <c r="C314" s="2" t="s">
        <v>1344</v>
      </c>
      <c r="D314" s="38" t="s">
        <v>786</v>
      </c>
      <c r="E314" t="s">
        <v>789</v>
      </c>
      <c r="F314" t="s">
        <v>797</v>
      </c>
      <c r="G314" s="38" t="s">
        <v>1111</v>
      </c>
      <c r="H314" s="19">
        <v>342.82</v>
      </c>
      <c r="I314" s="19">
        <v>359.09</v>
      </c>
      <c r="J314">
        <v>6</v>
      </c>
      <c r="K314">
        <v>0.2</v>
      </c>
      <c r="L314" s="19">
        <v>-16.27</v>
      </c>
      <c r="M314" t="s">
        <v>1291</v>
      </c>
    </row>
    <row r="315" spans="1:13" x14ac:dyDescent="0.3">
      <c r="A315" t="s">
        <v>324</v>
      </c>
      <c r="B315" s="2" t="s">
        <v>720</v>
      </c>
      <c r="C315" s="2" t="s">
        <v>1352</v>
      </c>
      <c r="D315" s="38" t="s">
        <v>783</v>
      </c>
      <c r="E315" t="s">
        <v>788</v>
      </c>
      <c r="F315" t="s">
        <v>795</v>
      </c>
      <c r="G315" s="38" t="s">
        <v>1112</v>
      </c>
      <c r="H315" s="19">
        <v>1835.4</v>
      </c>
      <c r="I315" s="19">
        <v>1853.5600000000002</v>
      </c>
      <c r="J315">
        <v>7</v>
      </c>
      <c r="K315">
        <v>0.1</v>
      </c>
      <c r="L315" s="19">
        <v>-18.16</v>
      </c>
      <c r="M315" t="s">
        <v>1291</v>
      </c>
    </row>
    <row r="316" spans="1:13" x14ac:dyDescent="0.3">
      <c r="A316" t="s">
        <v>325</v>
      </c>
      <c r="B316" s="2" t="s">
        <v>721</v>
      </c>
      <c r="C316" s="2" t="s">
        <v>1349</v>
      </c>
      <c r="D316" s="38" t="s">
        <v>784</v>
      </c>
      <c r="E316" t="s">
        <v>788</v>
      </c>
      <c r="F316" t="s">
        <v>791</v>
      </c>
      <c r="G316" s="38" t="s">
        <v>1113</v>
      </c>
      <c r="H316" s="19">
        <v>1573.08</v>
      </c>
      <c r="I316" s="19">
        <v>1795.9699999999998</v>
      </c>
      <c r="J316">
        <v>1</v>
      </c>
      <c r="K316">
        <v>0.2</v>
      </c>
      <c r="L316" s="19">
        <v>-222.89</v>
      </c>
      <c r="M316" t="s">
        <v>1290</v>
      </c>
    </row>
    <row r="317" spans="1:13" x14ac:dyDescent="0.3">
      <c r="A317" t="s">
        <v>326</v>
      </c>
      <c r="B317" s="2" t="s">
        <v>722</v>
      </c>
      <c r="C317" s="2" t="s">
        <v>1344</v>
      </c>
      <c r="D317" s="38" t="s">
        <v>783</v>
      </c>
      <c r="E317" t="s">
        <v>789</v>
      </c>
      <c r="F317" t="s">
        <v>794</v>
      </c>
      <c r="G317" s="38" t="s">
        <v>1114</v>
      </c>
      <c r="H317" s="19">
        <v>377.21</v>
      </c>
      <c r="I317" s="19">
        <v>362.28999999999996</v>
      </c>
      <c r="J317">
        <v>1</v>
      </c>
      <c r="K317">
        <v>0.15</v>
      </c>
      <c r="L317" s="19">
        <v>14.92</v>
      </c>
      <c r="M317" t="s">
        <v>1291</v>
      </c>
    </row>
    <row r="318" spans="1:13" x14ac:dyDescent="0.3">
      <c r="A318" t="s">
        <v>327</v>
      </c>
      <c r="B318" s="2" t="s">
        <v>686</v>
      </c>
      <c r="C318" s="2" t="s">
        <v>1344</v>
      </c>
      <c r="D318" s="38" t="s">
        <v>783</v>
      </c>
      <c r="E318" t="s">
        <v>787</v>
      </c>
      <c r="F318" t="s">
        <v>800</v>
      </c>
      <c r="G318" s="38" t="s">
        <v>1115</v>
      </c>
      <c r="H318" s="19">
        <v>886.87</v>
      </c>
      <c r="I318" s="19">
        <v>717.31999999999994</v>
      </c>
      <c r="J318">
        <v>3</v>
      </c>
      <c r="K318">
        <v>0.1</v>
      </c>
      <c r="L318" s="19">
        <v>169.55</v>
      </c>
      <c r="M318" t="s">
        <v>1291</v>
      </c>
    </row>
    <row r="319" spans="1:13" x14ac:dyDescent="0.3">
      <c r="A319" t="s">
        <v>328</v>
      </c>
      <c r="B319" s="2" t="s">
        <v>660</v>
      </c>
      <c r="C319" s="2" t="s">
        <v>1353</v>
      </c>
      <c r="D319" s="38" t="s">
        <v>783</v>
      </c>
      <c r="E319" t="s">
        <v>787</v>
      </c>
      <c r="F319" t="s">
        <v>792</v>
      </c>
      <c r="G319" s="38" t="s">
        <v>1116</v>
      </c>
      <c r="H319" s="19">
        <v>674.96</v>
      </c>
      <c r="I319" s="19">
        <v>592.75</v>
      </c>
      <c r="J319">
        <v>2</v>
      </c>
      <c r="K319">
        <v>0</v>
      </c>
      <c r="L319" s="19">
        <v>82.21</v>
      </c>
      <c r="M319" t="s">
        <v>1289</v>
      </c>
    </row>
    <row r="320" spans="1:13" x14ac:dyDescent="0.3">
      <c r="A320" t="s">
        <v>329</v>
      </c>
      <c r="B320" s="2" t="s">
        <v>712</v>
      </c>
      <c r="C320" s="2" t="s">
        <v>1350</v>
      </c>
      <c r="D320" s="38" t="s">
        <v>784</v>
      </c>
      <c r="E320" t="s">
        <v>788</v>
      </c>
      <c r="F320" t="s">
        <v>793</v>
      </c>
      <c r="G320" s="38" t="s">
        <v>1117</v>
      </c>
      <c r="H320" s="19">
        <v>1607.62</v>
      </c>
      <c r="I320" s="19">
        <v>1549.6899999999998</v>
      </c>
      <c r="J320">
        <v>1</v>
      </c>
      <c r="K320">
        <v>0.15</v>
      </c>
      <c r="L320" s="19">
        <v>57.93</v>
      </c>
      <c r="M320" t="s">
        <v>1291</v>
      </c>
    </row>
    <row r="321" spans="1:13" x14ac:dyDescent="0.3">
      <c r="A321" t="s">
        <v>330</v>
      </c>
      <c r="B321" s="2" t="s">
        <v>648</v>
      </c>
      <c r="C321" s="2" t="s">
        <v>1345</v>
      </c>
      <c r="D321" s="38" t="s">
        <v>783</v>
      </c>
      <c r="E321" t="s">
        <v>788</v>
      </c>
      <c r="F321" t="s">
        <v>795</v>
      </c>
      <c r="G321" s="38" t="s">
        <v>1118</v>
      </c>
      <c r="H321" s="19">
        <v>615.83000000000004</v>
      </c>
      <c r="I321" s="19">
        <v>499.58000000000004</v>
      </c>
      <c r="J321">
        <v>10</v>
      </c>
      <c r="K321">
        <v>0</v>
      </c>
      <c r="L321" s="19">
        <v>116.25</v>
      </c>
      <c r="M321" t="s">
        <v>1291</v>
      </c>
    </row>
    <row r="322" spans="1:13" x14ac:dyDescent="0.3">
      <c r="A322" t="s">
        <v>331</v>
      </c>
      <c r="B322" s="2" t="s">
        <v>723</v>
      </c>
      <c r="C322" s="2" t="s">
        <v>1351</v>
      </c>
      <c r="D322" s="38" t="s">
        <v>784</v>
      </c>
      <c r="E322" t="s">
        <v>787</v>
      </c>
      <c r="F322" t="s">
        <v>800</v>
      </c>
      <c r="G322" s="38" t="s">
        <v>1119</v>
      </c>
      <c r="H322" s="19">
        <v>710.44</v>
      </c>
      <c r="I322" s="19">
        <v>715.38000000000011</v>
      </c>
      <c r="J322">
        <v>1</v>
      </c>
      <c r="K322">
        <v>0.15</v>
      </c>
      <c r="L322" s="19">
        <v>-4.9400000000000004</v>
      </c>
      <c r="M322" t="s">
        <v>1289</v>
      </c>
    </row>
    <row r="323" spans="1:13" x14ac:dyDescent="0.3">
      <c r="A323" t="s">
        <v>332</v>
      </c>
      <c r="B323" s="2" t="s">
        <v>574</v>
      </c>
      <c r="C323" s="2" t="s">
        <v>1350</v>
      </c>
      <c r="D323" s="38" t="s">
        <v>786</v>
      </c>
      <c r="E323" t="s">
        <v>787</v>
      </c>
      <c r="F323" t="s">
        <v>792</v>
      </c>
      <c r="G323" s="38" t="s">
        <v>1120</v>
      </c>
      <c r="H323" s="19">
        <v>939.36</v>
      </c>
      <c r="I323" s="19">
        <v>967.87</v>
      </c>
      <c r="J323">
        <v>4</v>
      </c>
      <c r="K323">
        <v>0.2</v>
      </c>
      <c r="L323" s="19">
        <v>-28.51</v>
      </c>
      <c r="M323" t="s">
        <v>1290</v>
      </c>
    </row>
    <row r="324" spans="1:13" x14ac:dyDescent="0.3">
      <c r="A324" t="s">
        <v>333</v>
      </c>
      <c r="B324" s="2" t="s">
        <v>620</v>
      </c>
      <c r="C324" s="2" t="s">
        <v>1346</v>
      </c>
      <c r="D324" s="38" t="s">
        <v>783</v>
      </c>
      <c r="E324" t="s">
        <v>788</v>
      </c>
      <c r="F324" t="s">
        <v>796</v>
      </c>
      <c r="G324" s="38" t="s">
        <v>1121</v>
      </c>
      <c r="H324" s="19">
        <v>1631.16</v>
      </c>
      <c r="I324" s="19">
        <v>1268.04</v>
      </c>
      <c r="J324">
        <v>7</v>
      </c>
      <c r="K324">
        <v>0.05</v>
      </c>
      <c r="L324" s="19">
        <v>363.12</v>
      </c>
      <c r="M324" t="s">
        <v>1291</v>
      </c>
    </row>
    <row r="325" spans="1:13" x14ac:dyDescent="0.3">
      <c r="A325" t="s">
        <v>334</v>
      </c>
      <c r="B325" s="2" t="s">
        <v>652</v>
      </c>
      <c r="C325" s="2" t="s">
        <v>1353</v>
      </c>
      <c r="D325" s="38" t="s">
        <v>785</v>
      </c>
      <c r="E325" t="s">
        <v>789</v>
      </c>
      <c r="F325" t="s">
        <v>794</v>
      </c>
      <c r="G325" s="38" t="s">
        <v>1122</v>
      </c>
      <c r="H325" s="19">
        <v>934.61</v>
      </c>
      <c r="I325" s="19">
        <v>874.12</v>
      </c>
      <c r="J325">
        <v>7</v>
      </c>
      <c r="K325">
        <v>0.1</v>
      </c>
      <c r="L325" s="19">
        <v>60.49</v>
      </c>
      <c r="M325" t="s">
        <v>1290</v>
      </c>
    </row>
    <row r="326" spans="1:13" x14ac:dyDescent="0.3">
      <c r="A326" t="s">
        <v>335</v>
      </c>
      <c r="B326" s="2" t="s">
        <v>552</v>
      </c>
      <c r="C326" s="2" t="s">
        <v>1349</v>
      </c>
      <c r="D326" s="38" t="s">
        <v>785</v>
      </c>
      <c r="E326" t="s">
        <v>787</v>
      </c>
      <c r="F326" t="s">
        <v>790</v>
      </c>
      <c r="G326" s="38" t="s">
        <v>1123</v>
      </c>
      <c r="H326" s="19">
        <v>1745.82</v>
      </c>
      <c r="I326" s="19">
        <v>1959.04</v>
      </c>
      <c r="J326">
        <v>1</v>
      </c>
      <c r="K326">
        <v>0.2</v>
      </c>
      <c r="L326" s="19">
        <v>-213.22</v>
      </c>
      <c r="M326" t="s">
        <v>1291</v>
      </c>
    </row>
    <row r="327" spans="1:13" x14ac:dyDescent="0.3">
      <c r="A327" t="s">
        <v>336</v>
      </c>
      <c r="B327" s="2" t="s">
        <v>672</v>
      </c>
      <c r="C327" s="2" t="s">
        <v>1350</v>
      </c>
      <c r="D327" s="38" t="s">
        <v>785</v>
      </c>
      <c r="E327" t="s">
        <v>789</v>
      </c>
      <c r="F327" t="s">
        <v>794</v>
      </c>
      <c r="G327" s="38" t="s">
        <v>1124</v>
      </c>
      <c r="H327" s="19">
        <v>485.97</v>
      </c>
      <c r="I327" s="19">
        <v>433.14000000000004</v>
      </c>
      <c r="J327">
        <v>5</v>
      </c>
      <c r="K327">
        <v>0.1</v>
      </c>
      <c r="L327" s="19">
        <v>52.83</v>
      </c>
      <c r="M327" t="s">
        <v>1290</v>
      </c>
    </row>
    <row r="328" spans="1:13" x14ac:dyDescent="0.3">
      <c r="A328" t="s">
        <v>337</v>
      </c>
      <c r="B328" s="2" t="s">
        <v>724</v>
      </c>
      <c r="C328" s="2" t="s">
        <v>1348</v>
      </c>
      <c r="D328" s="38" t="s">
        <v>785</v>
      </c>
      <c r="E328" t="s">
        <v>787</v>
      </c>
      <c r="F328" t="s">
        <v>792</v>
      </c>
      <c r="G328" s="38" t="s">
        <v>1125</v>
      </c>
      <c r="H328" s="19">
        <v>1366.57</v>
      </c>
      <c r="I328" s="19">
        <v>1211.46</v>
      </c>
      <c r="J328">
        <v>5</v>
      </c>
      <c r="K328">
        <v>0</v>
      </c>
      <c r="L328" s="19">
        <v>155.11000000000001</v>
      </c>
      <c r="M328" t="s">
        <v>1290</v>
      </c>
    </row>
    <row r="329" spans="1:13" x14ac:dyDescent="0.3">
      <c r="A329" t="s">
        <v>338</v>
      </c>
      <c r="B329" s="2" t="s">
        <v>725</v>
      </c>
      <c r="C329" s="2" t="s">
        <v>1348</v>
      </c>
      <c r="D329" s="38" t="s">
        <v>783</v>
      </c>
      <c r="E329" t="s">
        <v>788</v>
      </c>
      <c r="F329" t="s">
        <v>795</v>
      </c>
      <c r="G329" s="38" t="s">
        <v>1126</v>
      </c>
      <c r="H329" s="19">
        <v>1899.4</v>
      </c>
      <c r="I329" s="19">
        <v>1943.8200000000002</v>
      </c>
      <c r="J329">
        <v>10</v>
      </c>
      <c r="K329">
        <v>0.1</v>
      </c>
      <c r="L329" s="19">
        <v>-44.42</v>
      </c>
      <c r="M329" t="s">
        <v>1289</v>
      </c>
    </row>
    <row r="330" spans="1:13" x14ac:dyDescent="0.3">
      <c r="A330" t="s">
        <v>339</v>
      </c>
      <c r="B330" s="2" t="s">
        <v>616</v>
      </c>
      <c r="C330" s="2" t="s">
        <v>1354</v>
      </c>
      <c r="D330" s="38" t="s">
        <v>786</v>
      </c>
      <c r="E330" t="s">
        <v>787</v>
      </c>
      <c r="F330" t="s">
        <v>790</v>
      </c>
      <c r="G330" s="38" t="s">
        <v>1127</v>
      </c>
      <c r="H330" s="19">
        <v>815.32</v>
      </c>
      <c r="I330" s="19">
        <v>856.53000000000009</v>
      </c>
      <c r="J330">
        <v>2</v>
      </c>
      <c r="K330">
        <v>0.2</v>
      </c>
      <c r="L330" s="19">
        <v>-41.21</v>
      </c>
      <c r="M330" t="s">
        <v>1290</v>
      </c>
    </row>
    <row r="331" spans="1:13" x14ac:dyDescent="0.3">
      <c r="A331" t="s">
        <v>340</v>
      </c>
      <c r="B331" s="2" t="s">
        <v>726</v>
      </c>
      <c r="C331" s="2" t="s">
        <v>1351</v>
      </c>
      <c r="D331" s="38" t="s">
        <v>785</v>
      </c>
      <c r="E331" t="s">
        <v>788</v>
      </c>
      <c r="F331" t="s">
        <v>791</v>
      </c>
      <c r="G331" s="38" t="s">
        <v>1128</v>
      </c>
      <c r="H331" s="19">
        <v>1467.1</v>
      </c>
      <c r="I331" s="19">
        <v>1472.24</v>
      </c>
      <c r="J331">
        <v>8</v>
      </c>
      <c r="K331">
        <v>0.2</v>
      </c>
      <c r="L331" s="19">
        <v>-5.14</v>
      </c>
      <c r="M331" t="s">
        <v>1291</v>
      </c>
    </row>
    <row r="332" spans="1:13" x14ac:dyDescent="0.3">
      <c r="A332" t="s">
        <v>341</v>
      </c>
      <c r="B332" s="2" t="s">
        <v>696</v>
      </c>
      <c r="C332" s="2" t="s">
        <v>1347</v>
      </c>
      <c r="D332" s="38" t="s">
        <v>783</v>
      </c>
      <c r="E332" t="s">
        <v>789</v>
      </c>
      <c r="F332" t="s">
        <v>799</v>
      </c>
      <c r="G332" s="38" t="s">
        <v>1129</v>
      </c>
      <c r="H332" s="19">
        <v>1991.29</v>
      </c>
      <c r="I332" s="19">
        <v>1701.49</v>
      </c>
      <c r="J332">
        <v>2</v>
      </c>
      <c r="K332">
        <v>0</v>
      </c>
      <c r="L332" s="19">
        <v>289.8</v>
      </c>
      <c r="M332" t="s">
        <v>1291</v>
      </c>
    </row>
    <row r="333" spans="1:13" x14ac:dyDescent="0.3">
      <c r="A333" t="s">
        <v>342</v>
      </c>
      <c r="B333" s="2" t="s">
        <v>653</v>
      </c>
      <c r="C333" s="2" t="s">
        <v>1353</v>
      </c>
      <c r="D333" s="38" t="s">
        <v>783</v>
      </c>
      <c r="E333" t="s">
        <v>789</v>
      </c>
      <c r="F333" t="s">
        <v>799</v>
      </c>
      <c r="G333" s="38" t="s">
        <v>1130</v>
      </c>
      <c r="H333" s="19">
        <v>1975.41</v>
      </c>
      <c r="I333" s="19">
        <v>1492.68</v>
      </c>
      <c r="J333">
        <v>7</v>
      </c>
      <c r="K333">
        <v>0</v>
      </c>
      <c r="L333" s="19">
        <v>482.73</v>
      </c>
      <c r="M333" t="s">
        <v>1290</v>
      </c>
    </row>
    <row r="334" spans="1:13" x14ac:dyDescent="0.3">
      <c r="A334" t="s">
        <v>343</v>
      </c>
      <c r="B334" s="2" t="s">
        <v>574</v>
      </c>
      <c r="C334" s="2" t="s">
        <v>1350</v>
      </c>
      <c r="D334" s="38" t="s">
        <v>786</v>
      </c>
      <c r="E334" t="s">
        <v>789</v>
      </c>
      <c r="F334" t="s">
        <v>794</v>
      </c>
      <c r="G334" s="38" t="s">
        <v>1131</v>
      </c>
      <c r="H334" s="19">
        <v>1301.23</v>
      </c>
      <c r="I334" s="19">
        <v>1293.58</v>
      </c>
      <c r="J334">
        <v>3</v>
      </c>
      <c r="K334">
        <v>0.2</v>
      </c>
      <c r="L334" s="19">
        <v>7.65</v>
      </c>
      <c r="M334" t="s">
        <v>1290</v>
      </c>
    </row>
    <row r="335" spans="1:13" x14ac:dyDescent="0.3">
      <c r="A335" t="s">
        <v>344</v>
      </c>
      <c r="B335" s="2" t="s">
        <v>727</v>
      </c>
      <c r="C335" s="2" t="s">
        <v>1343</v>
      </c>
      <c r="D335" s="38" t="s">
        <v>784</v>
      </c>
      <c r="E335" t="s">
        <v>788</v>
      </c>
      <c r="F335" t="s">
        <v>791</v>
      </c>
      <c r="G335" s="38" t="s">
        <v>1132</v>
      </c>
      <c r="H335" s="19">
        <v>143.88999999999999</v>
      </c>
      <c r="I335" s="19">
        <v>157.17999999999998</v>
      </c>
      <c r="J335">
        <v>9</v>
      </c>
      <c r="K335">
        <v>0.15</v>
      </c>
      <c r="L335" s="19">
        <v>-13.29</v>
      </c>
      <c r="M335" t="s">
        <v>1290</v>
      </c>
    </row>
    <row r="336" spans="1:13" x14ac:dyDescent="0.3">
      <c r="A336" t="s">
        <v>345</v>
      </c>
      <c r="B336" s="2" t="s">
        <v>728</v>
      </c>
      <c r="C336" s="2" t="s">
        <v>1343</v>
      </c>
      <c r="D336" s="38" t="s">
        <v>783</v>
      </c>
      <c r="E336" t="s">
        <v>787</v>
      </c>
      <c r="F336" t="s">
        <v>801</v>
      </c>
      <c r="G336" s="38" t="s">
        <v>1133</v>
      </c>
      <c r="H336" s="19">
        <v>1799.02</v>
      </c>
      <c r="I336" s="19">
        <v>1789.2</v>
      </c>
      <c r="J336">
        <v>5</v>
      </c>
      <c r="K336">
        <v>0.1</v>
      </c>
      <c r="L336" s="19">
        <v>9.82</v>
      </c>
      <c r="M336" t="s">
        <v>1289</v>
      </c>
    </row>
    <row r="337" spans="1:13" x14ac:dyDescent="0.3">
      <c r="A337" t="s">
        <v>346</v>
      </c>
      <c r="B337" s="2" t="s">
        <v>684</v>
      </c>
      <c r="C337" s="2" t="s">
        <v>1344</v>
      </c>
      <c r="D337" s="38" t="s">
        <v>786</v>
      </c>
      <c r="E337" t="s">
        <v>788</v>
      </c>
      <c r="F337" t="s">
        <v>795</v>
      </c>
      <c r="G337" s="38" t="s">
        <v>1044</v>
      </c>
      <c r="H337" s="19">
        <v>995.22</v>
      </c>
      <c r="I337" s="19">
        <v>913.44</v>
      </c>
      <c r="J337">
        <v>4</v>
      </c>
      <c r="K337">
        <v>0.15</v>
      </c>
      <c r="L337" s="19">
        <v>81.78</v>
      </c>
      <c r="M337" t="s">
        <v>1289</v>
      </c>
    </row>
    <row r="338" spans="1:13" x14ac:dyDescent="0.3">
      <c r="A338" t="s">
        <v>347</v>
      </c>
      <c r="B338" s="2" t="s">
        <v>717</v>
      </c>
      <c r="C338" s="2" t="s">
        <v>1348</v>
      </c>
      <c r="D338" s="38" t="s">
        <v>786</v>
      </c>
      <c r="E338" t="s">
        <v>788</v>
      </c>
      <c r="F338" t="s">
        <v>795</v>
      </c>
      <c r="G338" s="38" t="s">
        <v>1134</v>
      </c>
      <c r="H338" s="19">
        <v>926.55</v>
      </c>
      <c r="I338" s="19">
        <v>945</v>
      </c>
      <c r="J338">
        <v>10</v>
      </c>
      <c r="K338">
        <v>0.2</v>
      </c>
      <c r="L338" s="19">
        <v>-18.45</v>
      </c>
      <c r="M338" t="s">
        <v>1291</v>
      </c>
    </row>
    <row r="339" spans="1:13" x14ac:dyDescent="0.3">
      <c r="A339" t="s">
        <v>348</v>
      </c>
      <c r="B339" s="2" t="s">
        <v>729</v>
      </c>
      <c r="C339" s="2" t="s">
        <v>1345</v>
      </c>
      <c r="D339" s="38" t="s">
        <v>785</v>
      </c>
      <c r="E339" t="s">
        <v>788</v>
      </c>
      <c r="F339" t="s">
        <v>796</v>
      </c>
      <c r="G339" s="38" t="s">
        <v>1063</v>
      </c>
      <c r="H339" s="19">
        <v>1671.79</v>
      </c>
      <c r="I339" s="19">
        <v>1834.09</v>
      </c>
      <c r="J339">
        <v>4</v>
      </c>
      <c r="K339">
        <v>0.2</v>
      </c>
      <c r="L339" s="19">
        <v>-162.30000000000001</v>
      </c>
      <c r="M339" t="s">
        <v>1289</v>
      </c>
    </row>
    <row r="340" spans="1:13" x14ac:dyDescent="0.3">
      <c r="A340" t="s">
        <v>349</v>
      </c>
      <c r="B340" s="2" t="s">
        <v>730</v>
      </c>
      <c r="C340" s="2" t="s">
        <v>1354</v>
      </c>
      <c r="D340" s="38" t="s">
        <v>785</v>
      </c>
      <c r="E340" t="s">
        <v>789</v>
      </c>
      <c r="F340" t="s">
        <v>799</v>
      </c>
      <c r="G340" s="38" t="s">
        <v>1135</v>
      </c>
      <c r="H340" s="19">
        <v>1495.32</v>
      </c>
      <c r="I340" s="19">
        <v>1150.3399999999999</v>
      </c>
      <c r="J340">
        <v>3</v>
      </c>
      <c r="K340">
        <v>0.05</v>
      </c>
      <c r="L340" s="19">
        <v>344.98</v>
      </c>
      <c r="M340" t="s">
        <v>1290</v>
      </c>
    </row>
    <row r="341" spans="1:13" x14ac:dyDescent="0.3">
      <c r="A341" t="s">
        <v>350</v>
      </c>
      <c r="B341" s="2" t="s">
        <v>690</v>
      </c>
      <c r="C341" s="2" t="s">
        <v>1350</v>
      </c>
      <c r="D341" s="38" t="s">
        <v>785</v>
      </c>
      <c r="E341" t="s">
        <v>788</v>
      </c>
      <c r="F341" t="s">
        <v>791</v>
      </c>
      <c r="G341" s="38" t="s">
        <v>1136</v>
      </c>
      <c r="H341" s="19">
        <v>1134.69</v>
      </c>
      <c r="I341" s="19">
        <v>1059.93</v>
      </c>
      <c r="J341">
        <v>6</v>
      </c>
      <c r="K341">
        <v>0</v>
      </c>
      <c r="L341" s="19">
        <v>74.760000000000005</v>
      </c>
      <c r="M341" t="s">
        <v>1291</v>
      </c>
    </row>
    <row r="342" spans="1:13" x14ac:dyDescent="0.3">
      <c r="A342" t="s">
        <v>351</v>
      </c>
      <c r="B342" s="2" t="s">
        <v>555</v>
      </c>
      <c r="C342" s="2" t="s">
        <v>1348</v>
      </c>
      <c r="D342" s="38" t="s">
        <v>783</v>
      </c>
      <c r="E342" t="s">
        <v>789</v>
      </c>
      <c r="F342" t="s">
        <v>797</v>
      </c>
      <c r="G342" s="38" t="s">
        <v>1137</v>
      </c>
      <c r="H342" s="19">
        <v>631.26</v>
      </c>
      <c r="I342" s="19">
        <v>637.78</v>
      </c>
      <c r="J342">
        <v>4</v>
      </c>
      <c r="K342">
        <v>0.1</v>
      </c>
      <c r="L342" s="19">
        <v>-6.52</v>
      </c>
      <c r="M342" t="s">
        <v>1289</v>
      </c>
    </row>
    <row r="343" spans="1:13" x14ac:dyDescent="0.3">
      <c r="A343" t="s">
        <v>352</v>
      </c>
      <c r="B343" s="2" t="s">
        <v>731</v>
      </c>
      <c r="C343" s="2" t="s">
        <v>1352</v>
      </c>
      <c r="D343" s="38" t="s">
        <v>783</v>
      </c>
      <c r="E343" t="s">
        <v>788</v>
      </c>
      <c r="F343" t="s">
        <v>796</v>
      </c>
      <c r="G343" s="38" t="s">
        <v>1138</v>
      </c>
      <c r="H343" s="19">
        <v>765.19</v>
      </c>
      <c r="I343" s="19">
        <v>632.54000000000008</v>
      </c>
      <c r="J343">
        <v>10</v>
      </c>
      <c r="K343">
        <v>0.1</v>
      </c>
      <c r="L343" s="19">
        <v>132.65</v>
      </c>
      <c r="M343" t="s">
        <v>1289</v>
      </c>
    </row>
    <row r="344" spans="1:13" x14ac:dyDescent="0.3">
      <c r="A344" t="s">
        <v>353</v>
      </c>
      <c r="B344" s="2" t="s">
        <v>652</v>
      </c>
      <c r="C344" s="2" t="s">
        <v>1353</v>
      </c>
      <c r="D344" s="38" t="s">
        <v>786</v>
      </c>
      <c r="E344" t="s">
        <v>787</v>
      </c>
      <c r="F344" t="s">
        <v>790</v>
      </c>
      <c r="G344" s="38" t="s">
        <v>1139</v>
      </c>
      <c r="H344" s="19">
        <v>434.64</v>
      </c>
      <c r="I344" s="19">
        <v>379.09999999999997</v>
      </c>
      <c r="J344">
        <v>8</v>
      </c>
      <c r="K344">
        <v>0.1</v>
      </c>
      <c r="L344" s="19">
        <v>55.54</v>
      </c>
      <c r="M344" t="s">
        <v>1289</v>
      </c>
    </row>
    <row r="345" spans="1:13" x14ac:dyDescent="0.3">
      <c r="A345" t="s">
        <v>354</v>
      </c>
      <c r="B345" s="2" t="s">
        <v>732</v>
      </c>
      <c r="C345" s="2" t="s">
        <v>1351</v>
      </c>
      <c r="D345" s="38" t="s">
        <v>784</v>
      </c>
      <c r="E345" t="s">
        <v>788</v>
      </c>
      <c r="F345" t="s">
        <v>796</v>
      </c>
      <c r="G345" s="38" t="s">
        <v>1140</v>
      </c>
      <c r="H345" s="19">
        <v>1943.58</v>
      </c>
      <c r="I345" s="19">
        <v>1682.08</v>
      </c>
      <c r="J345">
        <v>7</v>
      </c>
      <c r="K345">
        <v>0.15</v>
      </c>
      <c r="L345" s="19">
        <v>261.5</v>
      </c>
      <c r="M345" t="s">
        <v>1290</v>
      </c>
    </row>
    <row r="346" spans="1:13" x14ac:dyDescent="0.3">
      <c r="A346" t="s">
        <v>355</v>
      </c>
      <c r="B346" s="2" t="s">
        <v>733</v>
      </c>
      <c r="C346" s="2" t="s">
        <v>1354</v>
      </c>
      <c r="D346" s="38" t="s">
        <v>784</v>
      </c>
      <c r="E346" t="s">
        <v>788</v>
      </c>
      <c r="F346" t="s">
        <v>793</v>
      </c>
      <c r="G346" s="38" t="s">
        <v>1141</v>
      </c>
      <c r="H346" s="19">
        <v>1340.05</v>
      </c>
      <c r="I346" s="19">
        <v>1263.2</v>
      </c>
      <c r="J346">
        <v>10</v>
      </c>
      <c r="K346">
        <v>0.1</v>
      </c>
      <c r="L346" s="19">
        <v>76.849999999999994</v>
      </c>
      <c r="M346" t="s">
        <v>1289</v>
      </c>
    </row>
    <row r="347" spans="1:13" x14ac:dyDescent="0.3">
      <c r="A347" t="s">
        <v>356</v>
      </c>
      <c r="B347" s="2" t="s">
        <v>646</v>
      </c>
      <c r="C347" s="2" t="s">
        <v>1353</v>
      </c>
      <c r="D347" s="38" t="s">
        <v>785</v>
      </c>
      <c r="E347" t="s">
        <v>789</v>
      </c>
      <c r="F347" t="s">
        <v>794</v>
      </c>
      <c r="G347" s="38" t="s">
        <v>1142</v>
      </c>
      <c r="H347" s="19">
        <v>1482.2</v>
      </c>
      <c r="I347" s="19">
        <v>1478.4</v>
      </c>
      <c r="J347">
        <v>9</v>
      </c>
      <c r="K347">
        <v>0.05</v>
      </c>
      <c r="L347" s="19">
        <v>3.8</v>
      </c>
      <c r="M347" t="s">
        <v>1290</v>
      </c>
    </row>
    <row r="348" spans="1:13" x14ac:dyDescent="0.3">
      <c r="A348" t="s">
        <v>357</v>
      </c>
      <c r="B348" s="2" t="s">
        <v>642</v>
      </c>
      <c r="C348" s="2" t="s">
        <v>1349</v>
      </c>
      <c r="D348" s="38" t="s">
        <v>785</v>
      </c>
      <c r="E348" t="s">
        <v>787</v>
      </c>
      <c r="F348" t="s">
        <v>792</v>
      </c>
      <c r="G348" s="38" t="s">
        <v>1143</v>
      </c>
      <c r="H348" s="19">
        <v>371.59</v>
      </c>
      <c r="I348" s="19">
        <v>364.67999999999995</v>
      </c>
      <c r="J348">
        <v>7</v>
      </c>
      <c r="K348">
        <v>0.2</v>
      </c>
      <c r="L348" s="19">
        <v>6.91</v>
      </c>
      <c r="M348" t="s">
        <v>1291</v>
      </c>
    </row>
    <row r="349" spans="1:13" x14ac:dyDescent="0.3">
      <c r="A349" t="s">
        <v>358</v>
      </c>
      <c r="B349" s="2" t="s">
        <v>734</v>
      </c>
      <c r="C349" s="2" t="s">
        <v>1350</v>
      </c>
      <c r="D349" s="38" t="s">
        <v>785</v>
      </c>
      <c r="E349" t="s">
        <v>787</v>
      </c>
      <c r="F349" t="s">
        <v>800</v>
      </c>
      <c r="G349" s="38" t="s">
        <v>1144</v>
      </c>
      <c r="H349" s="19">
        <v>1036.07</v>
      </c>
      <c r="I349" s="19">
        <v>937.55</v>
      </c>
      <c r="J349">
        <v>7</v>
      </c>
      <c r="K349">
        <v>0.15</v>
      </c>
      <c r="L349" s="19">
        <v>98.52</v>
      </c>
      <c r="M349" t="s">
        <v>1289</v>
      </c>
    </row>
    <row r="350" spans="1:13" x14ac:dyDescent="0.3">
      <c r="A350" t="s">
        <v>359</v>
      </c>
      <c r="B350" s="2" t="s">
        <v>619</v>
      </c>
      <c r="C350" s="2" t="s">
        <v>1348</v>
      </c>
      <c r="D350" s="38" t="s">
        <v>784</v>
      </c>
      <c r="E350" t="s">
        <v>788</v>
      </c>
      <c r="F350" t="s">
        <v>793</v>
      </c>
      <c r="G350" s="38" t="s">
        <v>1145</v>
      </c>
      <c r="H350" s="19">
        <v>975</v>
      </c>
      <c r="I350" s="19">
        <v>879.28</v>
      </c>
      <c r="J350">
        <v>10</v>
      </c>
      <c r="K350">
        <v>0.2</v>
      </c>
      <c r="L350" s="19">
        <v>95.72</v>
      </c>
      <c r="M350" t="s">
        <v>1290</v>
      </c>
    </row>
    <row r="351" spans="1:13" x14ac:dyDescent="0.3">
      <c r="A351" t="s">
        <v>360</v>
      </c>
      <c r="B351" s="2" t="s">
        <v>735</v>
      </c>
      <c r="C351" s="2" t="s">
        <v>1345</v>
      </c>
      <c r="D351" s="38" t="s">
        <v>784</v>
      </c>
      <c r="E351" t="s">
        <v>787</v>
      </c>
      <c r="F351" t="s">
        <v>792</v>
      </c>
      <c r="G351" s="38" t="s">
        <v>1146</v>
      </c>
      <c r="H351" s="19">
        <v>1276.9100000000001</v>
      </c>
      <c r="I351" s="19">
        <v>1165.52</v>
      </c>
      <c r="J351">
        <v>1</v>
      </c>
      <c r="K351">
        <v>0.2</v>
      </c>
      <c r="L351" s="19">
        <v>111.39</v>
      </c>
      <c r="M351" t="s">
        <v>1289</v>
      </c>
    </row>
    <row r="352" spans="1:13" x14ac:dyDescent="0.3">
      <c r="A352" t="s">
        <v>361</v>
      </c>
      <c r="B352" s="2" t="s">
        <v>712</v>
      </c>
      <c r="C352" s="2" t="s">
        <v>1350</v>
      </c>
      <c r="D352" s="38" t="s">
        <v>786</v>
      </c>
      <c r="E352" t="s">
        <v>787</v>
      </c>
      <c r="F352" t="s">
        <v>800</v>
      </c>
      <c r="G352" s="38" t="s">
        <v>1147</v>
      </c>
      <c r="H352" s="19">
        <v>910.02</v>
      </c>
      <c r="I352" s="19">
        <v>812.58999999999992</v>
      </c>
      <c r="J352">
        <v>10</v>
      </c>
      <c r="K352">
        <v>0.15</v>
      </c>
      <c r="L352" s="19">
        <v>97.43</v>
      </c>
      <c r="M352" t="s">
        <v>1289</v>
      </c>
    </row>
    <row r="353" spans="1:13" x14ac:dyDescent="0.3">
      <c r="A353" t="s">
        <v>362</v>
      </c>
      <c r="B353" s="2" t="s">
        <v>710</v>
      </c>
      <c r="C353" s="2" t="s">
        <v>1350</v>
      </c>
      <c r="D353" s="38" t="s">
        <v>785</v>
      </c>
      <c r="E353" t="s">
        <v>787</v>
      </c>
      <c r="F353" t="s">
        <v>801</v>
      </c>
      <c r="G353" s="38" t="s">
        <v>1148</v>
      </c>
      <c r="H353" s="19">
        <v>893.81</v>
      </c>
      <c r="I353" s="19">
        <v>885.28</v>
      </c>
      <c r="J353">
        <v>2</v>
      </c>
      <c r="K353">
        <v>0.15</v>
      </c>
      <c r="L353" s="19">
        <v>8.5299999999999994</v>
      </c>
      <c r="M353" t="s">
        <v>1291</v>
      </c>
    </row>
    <row r="354" spans="1:13" x14ac:dyDescent="0.3">
      <c r="A354" t="s">
        <v>363</v>
      </c>
      <c r="B354" s="2" t="s">
        <v>583</v>
      </c>
      <c r="C354" s="2" t="s">
        <v>1343</v>
      </c>
      <c r="D354" s="38" t="s">
        <v>784</v>
      </c>
      <c r="E354" t="s">
        <v>788</v>
      </c>
      <c r="F354" t="s">
        <v>796</v>
      </c>
      <c r="G354" s="38" t="s">
        <v>1149</v>
      </c>
      <c r="H354" s="19">
        <v>1907.42</v>
      </c>
      <c r="I354" s="19">
        <v>1801.16</v>
      </c>
      <c r="J354">
        <v>5</v>
      </c>
      <c r="K354">
        <v>0.1</v>
      </c>
      <c r="L354" s="19">
        <v>106.26</v>
      </c>
      <c r="M354" t="s">
        <v>1289</v>
      </c>
    </row>
    <row r="355" spans="1:13" x14ac:dyDescent="0.3">
      <c r="A355" t="s">
        <v>364</v>
      </c>
      <c r="B355" s="2" t="s">
        <v>663</v>
      </c>
      <c r="C355" s="2" t="s">
        <v>1348</v>
      </c>
      <c r="D355" s="38" t="s">
        <v>784</v>
      </c>
      <c r="E355" t="s">
        <v>787</v>
      </c>
      <c r="F355" t="s">
        <v>792</v>
      </c>
      <c r="G355" s="38" t="s">
        <v>1150</v>
      </c>
      <c r="H355" s="19">
        <v>753.64</v>
      </c>
      <c r="I355" s="19">
        <v>709.52</v>
      </c>
      <c r="J355">
        <v>9</v>
      </c>
      <c r="K355">
        <v>0</v>
      </c>
      <c r="L355" s="19">
        <v>44.12</v>
      </c>
      <c r="M355" t="s">
        <v>1291</v>
      </c>
    </row>
    <row r="356" spans="1:13" x14ac:dyDescent="0.3">
      <c r="A356" t="s">
        <v>365</v>
      </c>
      <c r="B356" s="2" t="s">
        <v>714</v>
      </c>
      <c r="C356" s="2" t="s">
        <v>1346</v>
      </c>
      <c r="D356" s="38" t="s">
        <v>784</v>
      </c>
      <c r="E356" t="s">
        <v>787</v>
      </c>
      <c r="F356" t="s">
        <v>800</v>
      </c>
      <c r="G356" s="38" t="s">
        <v>1151</v>
      </c>
      <c r="H356" s="19">
        <v>1301.17</v>
      </c>
      <c r="I356" s="19">
        <v>1196.95</v>
      </c>
      <c r="J356">
        <v>8</v>
      </c>
      <c r="K356">
        <v>0.05</v>
      </c>
      <c r="L356" s="19">
        <v>104.22</v>
      </c>
      <c r="M356" t="s">
        <v>1289</v>
      </c>
    </row>
    <row r="357" spans="1:13" x14ac:dyDescent="0.3">
      <c r="A357" t="s">
        <v>366</v>
      </c>
      <c r="B357" s="2" t="s">
        <v>562</v>
      </c>
      <c r="C357" s="2" t="s">
        <v>1351</v>
      </c>
      <c r="D357" s="38" t="s">
        <v>786</v>
      </c>
      <c r="E357" t="s">
        <v>787</v>
      </c>
      <c r="F357" t="s">
        <v>792</v>
      </c>
      <c r="G357" s="38" t="s">
        <v>1152</v>
      </c>
      <c r="H357" s="19">
        <v>1150.98</v>
      </c>
      <c r="I357" s="19">
        <v>1041.22</v>
      </c>
      <c r="J357">
        <v>2</v>
      </c>
      <c r="K357">
        <v>0.2</v>
      </c>
      <c r="L357" s="19">
        <v>109.76</v>
      </c>
      <c r="M357" t="s">
        <v>1289</v>
      </c>
    </row>
    <row r="358" spans="1:13" x14ac:dyDescent="0.3">
      <c r="A358" t="s">
        <v>367</v>
      </c>
      <c r="B358" s="2" t="s">
        <v>736</v>
      </c>
      <c r="C358" s="2" t="s">
        <v>1350</v>
      </c>
      <c r="D358" s="38" t="s">
        <v>786</v>
      </c>
      <c r="E358" t="s">
        <v>788</v>
      </c>
      <c r="F358" t="s">
        <v>791</v>
      </c>
      <c r="G358" s="38" t="s">
        <v>1153</v>
      </c>
      <c r="H358" s="19">
        <v>61.83</v>
      </c>
      <c r="I358" s="19">
        <v>62.339999999999996</v>
      </c>
      <c r="J358">
        <v>1</v>
      </c>
      <c r="K358">
        <v>0.1</v>
      </c>
      <c r="L358" s="19">
        <v>-0.51</v>
      </c>
      <c r="M358" t="s">
        <v>1290</v>
      </c>
    </row>
    <row r="359" spans="1:13" x14ac:dyDescent="0.3">
      <c r="A359" t="s">
        <v>368</v>
      </c>
      <c r="B359" s="2" t="s">
        <v>737</v>
      </c>
      <c r="C359" s="2" t="s">
        <v>1345</v>
      </c>
      <c r="D359" s="38" t="s">
        <v>785</v>
      </c>
      <c r="E359" t="s">
        <v>789</v>
      </c>
      <c r="F359" t="s">
        <v>797</v>
      </c>
      <c r="G359" s="38" t="s">
        <v>1154</v>
      </c>
      <c r="H359" s="19">
        <v>100.28</v>
      </c>
      <c r="I359" s="19">
        <v>87.58</v>
      </c>
      <c r="J359">
        <v>6</v>
      </c>
      <c r="K359">
        <v>0.15</v>
      </c>
      <c r="L359" s="19">
        <v>12.7</v>
      </c>
      <c r="M359" t="s">
        <v>1290</v>
      </c>
    </row>
    <row r="360" spans="1:13" x14ac:dyDescent="0.3">
      <c r="A360" t="s">
        <v>369</v>
      </c>
      <c r="B360" s="2" t="s">
        <v>614</v>
      </c>
      <c r="C360" s="2" t="s">
        <v>1347</v>
      </c>
      <c r="D360" s="38" t="s">
        <v>785</v>
      </c>
      <c r="E360" t="s">
        <v>787</v>
      </c>
      <c r="F360" t="s">
        <v>790</v>
      </c>
      <c r="G360" s="38" t="s">
        <v>1155</v>
      </c>
      <c r="H360" s="19">
        <v>1503.22</v>
      </c>
      <c r="I360" s="19">
        <v>1264.7</v>
      </c>
      <c r="J360">
        <v>10</v>
      </c>
      <c r="K360">
        <v>0.05</v>
      </c>
      <c r="L360" s="19">
        <v>238.52</v>
      </c>
      <c r="M360" t="s">
        <v>1290</v>
      </c>
    </row>
    <row r="361" spans="1:13" x14ac:dyDescent="0.3">
      <c r="A361" t="s">
        <v>370</v>
      </c>
      <c r="B361" s="2" t="s">
        <v>738</v>
      </c>
      <c r="C361" s="2" t="s">
        <v>1351</v>
      </c>
      <c r="D361" s="38" t="s">
        <v>783</v>
      </c>
      <c r="E361" t="s">
        <v>789</v>
      </c>
      <c r="F361" t="s">
        <v>798</v>
      </c>
      <c r="G361" s="38" t="s">
        <v>1156</v>
      </c>
      <c r="H361" s="19">
        <v>129.33000000000001</v>
      </c>
      <c r="I361" s="19">
        <v>109.42000000000002</v>
      </c>
      <c r="J361">
        <v>2</v>
      </c>
      <c r="K361">
        <v>0.05</v>
      </c>
      <c r="L361" s="19">
        <v>19.91</v>
      </c>
      <c r="M361" t="s">
        <v>1289</v>
      </c>
    </row>
    <row r="362" spans="1:13" x14ac:dyDescent="0.3">
      <c r="A362" t="s">
        <v>371</v>
      </c>
      <c r="B362" s="2" t="s">
        <v>686</v>
      </c>
      <c r="C362" s="2" t="s">
        <v>1344</v>
      </c>
      <c r="D362" s="38" t="s">
        <v>784</v>
      </c>
      <c r="E362" t="s">
        <v>789</v>
      </c>
      <c r="F362" t="s">
        <v>798</v>
      </c>
      <c r="G362" s="38" t="s">
        <v>1157</v>
      </c>
      <c r="H362" s="19">
        <v>1556.69</v>
      </c>
      <c r="I362" s="19">
        <v>1499.93</v>
      </c>
      <c r="J362">
        <v>8</v>
      </c>
      <c r="K362">
        <v>0.2</v>
      </c>
      <c r="L362" s="19">
        <v>56.76</v>
      </c>
      <c r="M362" t="s">
        <v>1290</v>
      </c>
    </row>
    <row r="363" spans="1:13" x14ac:dyDescent="0.3">
      <c r="A363" t="s">
        <v>372</v>
      </c>
      <c r="B363" s="2" t="s">
        <v>739</v>
      </c>
      <c r="C363" s="2" t="s">
        <v>1344</v>
      </c>
      <c r="D363" s="38" t="s">
        <v>786</v>
      </c>
      <c r="E363" t="s">
        <v>789</v>
      </c>
      <c r="F363" t="s">
        <v>797</v>
      </c>
      <c r="G363" s="38" t="s">
        <v>1158</v>
      </c>
      <c r="H363" s="19">
        <v>1598.85</v>
      </c>
      <c r="I363" s="19">
        <v>1413.1699999999998</v>
      </c>
      <c r="J363">
        <v>7</v>
      </c>
      <c r="K363">
        <v>0.15</v>
      </c>
      <c r="L363" s="19">
        <v>185.68</v>
      </c>
      <c r="M363" t="s">
        <v>1289</v>
      </c>
    </row>
    <row r="364" spans="1:13" x14ac:dyDescent="0.3">
      <c r="A364" t="s">
        <v>373</v>
      </c>
      <c r="B364" s="2" t="s">
        <v>637</v>
      </c>
      <c r="C364" s="2" t="s">
        <v>1353</v>
      </c>
      <c r="D364" s="38" t="s">
        <v>783</v>
      </c>
      <c r="E364" t="s">
        <v>789</v>
      </c>
      <c r="F364" t="s">
        <v>798</v>
      </c>
      <c r="G364" s="38" t="s">
        <v>1159</v>
      </c>
      <c r="H364" s="19">
        <v>904.39</v>
      </c>
      <c r="I364" s="19">
        <v>886.15</v>
      </c>
      <c r="J364">
        <v>4</v>
      </c>
      <c r="K364">
        <v>0.1</v>
      </c>
      <c r="L364" s="19">
        <v>18.239999999999998</v>
      </c>
      <c r="M364" t="s">
        <v>1290</v>
      </c>
    </row>
    <row r="365" spans="1:13" x14ac:dyDescent="0.3">
      <c r="A365" t="s">
        <v>374</v>
      </c>
      <c r="B365" s="2" t="s">
        <v>740</v>
      </c>
      <c r="C365" s="2" t="s">
        <v>1351</v>
      </c>
      <c r="D365" s="38" t="s">
        <v>783</v>
      </c>
      <c r="E365" t="s">
        <v>789</v>
      </c>
      <c r="F365" t="s">
        <v>798</v>
      </c>
      <c r="G365" s="38" t="s">
        <v>1160</v>
      </c>
      <c r="H365" s="19">
        <v>235.01</v>
      </c>
      <c r="I365" s="19">
        <v>215.16</v>
      </c>
      <c r="J365">
        <v>5</v>
      </c>
      <c r="K365">
        <v>0.1</v>
      </c>
      <c r="L365" s="19">
        <v>19.850000000000001</v>
      </c>
      <c r="M365" t="s">
        <v>1290</v>
      </c>
    </row>
    <row r="366" spans="1:13" x14ac:dyDescent="0.3">
      <c r="A366" t="s">
        <v>375</v>
      </c>
      <c r="B366" s="2" t="s">
        <v>600</v>
      </c>
      <c r="C366" s="2" t="s">
        <v>1354</v>
      </c>
      <c r="D366" s="38" t="s">
        <v>786</v>
      </c>
      <c r="E366" t="s">
        <v>787</v>
      </c>
      <c r="F366" t="s">
        <v>792</v>
      </c>
      <c r="G366" s="38" t="s">
        <v>1161</v>
      </c>
      <c r="H366" s="19">
        <v>1148.83</v>
      </c>
      <c r="I366" s="19">
        <v>1233.1899999999998</v>
      </c>
      <c r="J366">
        <v>10</v>
      </c>
      <c r="K366">
        <v>0.2</v>
      </c>
      <c r="L366" s="19">
        <v>-84.36</v>
      </c>
      <c r="M366" t="s">
        <v>1290</v>
      </c>
    </row>
    <row r="367" spans="1:13" x14ac:dyDescent="0.3">
      <c r="A367" t="s">
        <v>376</v>
      </c>
      <c r="B367" s="2" t="s">
        <v>514</v>
      </c>
      <c r="C367" s="2" t="s">
        <v>1354</v>
      </c>
      <c r="D367" s="38" t="s">
        <v>784</v>
      </c>
      <c r="E367" t="s">
        <v>789</v>
      </c>
      <c r="F367" t="s">
        <v>798</v>
      </c>
      <c r="G367" s="38" t="s">
        <v>1162</v>
      </c>
      <c r="H367" s="19">
        <v>1649.39</v>
      </c>
      <c r="I367" s="19">
        <v>1527.77</v>
      </c>
      <c r="J367">
        <v>6</v>
      </c>
      <c r="K367">
        <v>0.1</v>
      </c>
      <c r="L367" s="19">
        <v>121.62</v>
      </c>
      <c r="M367" t="s">
        <v>1291</v>
      </c>
    </row>
    <row r="368" spans="1:13" x14ac:dyDescent="0.3">
      <c r="A368" t="s">
        <v>377</v>
      </c>
      <c r="B368" s="2" t="s">
        <v>703</v>
      </c>
      <c r="C368" s="2" t="s">
        <v>1346</v>
      </c>
      <c r="D368" s="38" t="s">
        <v>785</v>
      </c>
      <c r="E368" t="s">
        <v>787</v>
      </c>
      <c r="F368" t="s">
        <v>800</v>
      </c>
      <c r="G368" s="38" t="s">
        <v>1163</v>
      </c>
      <c r="H368" s="19">
        <v>847.77</v>
      </c>
      <c r="I368" s="19">
        <v>893.49</v>
      </c>
      <c r="J368">
        <v>6</v>
      </c>
      <c r="K368">
        <v>0.2</v>
      </c>
      <c r="L368" s="19">
        <v>-45.72</v>
      </c>
      <c r="M368" t="s">
        <v>1291</v>
      </c>
    </row>
    <row r="369" spans="1:13" x14ac:dyDescent="0.3">
      <c r="A369" t="s">
        <v>378</v>
      </c>
      <c r="B369" s="2" t="s">
        <v>741</v>
      </c>
      <c r="C369" s="2" t="s">
        <v>1348</v>
      </c>
      <c r="D369" s="38" t="s">
        <v>786</v>
      </c>
      <c r="E369" t="s">
        <v>788</v>
      </c>
      <c r="F369" t="s">
        <v>791</v>
      </c>
      <c r="G369" s="38" t="s">
        <v>1164</v>
      </c>
      <c r="H369" s="19">
        <v>577.38</v>
      </c>
      <c r="I369" s="19">
        <v>555.57000000000005</v>
      </c>
      <c r="J369">
        <v>7</v>
      </c>
      <c r="K369">
        <v>0.05</v>
      </c>
      <c r="L369" s="19">
        <v>21.81</v>
      </c>
      <c r="M369" t="s">
        <v>1290</v>
      </c>
    </row>
    <row r="370" spans="1:13" x14ac:dyDescent="0.3">
      <c r="A370" t="s">
        <v>379</v>
      </c>
      <c r="B370" s="2" t="s">
        <v>742</v>
      </c>
      <c r="C370" s="2" t="s">
        <v>1347</v>
      </c>
      <c r="D370" s="38" t="s">
        <v>783</v>
      </c>
      <c r="E370" t="s">
        <v>788</v>
      </c>
      <c r="F370" t="s">
        <v>793</v>
      </c>
      <c r="G370" s="38" t="s">
        <v>1165</v>
      </c>
      <c r="H370" s="19">
        <v>974.77</v>
      </c>
      <c r="I370" s="19">
        <v>941.84</v>
      </c>
      <c r="J370">
        <v>4</v>
      </c>
      <c r="K370">
        <v>0.1</v>
      </c>
      <c r="L370" s="19">
        <v>32.93</v>
      </c>
      <c r="M370" t="s">
        <v>1289</v>
      </c>
    </row>
    <row r="371" spans="1:13" x14ac:dyDescent="0.3">
      <c r="A371" t="s">
        <v>380</v>
      </c>
      <c r="B371" s="2" t="s">
        <v>708</v>
      </c>
      <c r="C371" s="2" t="s">
        <v>1352</v>
      </c>
      <c r="D371" s="38" t="s">
        <v>784</v>
      </c>
      <c r="E371" t="s">
        <v>787</v>
      </c>
      <c r="F371" t="s">
        <v>792</v>
      </c>
      <c r="G371" s="38" t="s">
        <v>1166</v>
      </c>
      <c r="H371" s="19">
        <v>52.02</v>
      </c>
      <c r="I371" s="19">
        <v>52.980000000000004</v>
      </c>
      <c r="J371">
        <v>8</v>
      </c>
      <c r="K371">
        <v>0.2</v>
      </c>
      <c r="L371" s="19">
        <v>-0.96</v>
      </c>
      <c r="M371" t="s">
        <v>1290</v>
      </c>
    </row>
    <row r="372" spans="1:13" x14ac:dyDescent="0.3">
      <c r="A372" t="s">
        <v>381</v>
      </c>
      <c r="B372" s="2" t="s">
        <v>743</v>
      </c>
      <c r="C372" s="2" t="s">
        <v>1351</v>
      </c>
      <c r="D372" s="38" t="s">
        <v>783</v>
      </c>
      <c r="E372" t="s">
        <v>788</v>
      </c>
      <c r="F372" t="s">
        <v>791</v>
      </c>
      <c r="G372" s="38" t="s">
        <v>1167</v>
      </c>
      <c r="H372" s="19">
        <v>720.99</v>
      </c>
      <c r="I372" s="19">
        <v>665.58</v>
      </c>
      <c r="J372">
        <v>9</v>
      </c>
      <c r="K372">
        <v>0.2</v>
      </c>
      <c r="L372" s="19">
        <v>55.41</v>
      </c>
      <c r="M372" t="s">
        <v>1291</v>
      </c>
    </row>
    <row r="373" spans="1:13" x14ac:dyDescent="0.3">
      <c r="A373" t="s">
        <v>382</v>
      </c>
      <c r="B373" s="2" t="s">
        <v>567</v>
      </c>
      <c r="C373" s="2" t="s">
        <v>1344</v>
      </c>
      <c r="D373" s="38" t="s">
        <v>785</v>
      </c>
      <c r="E373" t="s">
        <v>789</v>
      </c>
      <c r="F373" t="s">
        <v>798</v>
      </c>
      <c r="G373" s="38" t="s">
        <v>1168</v>
      </c>
      <c r="H373" s="19">
        <v>1353</v>
      </c>
      <c r="I373" s="19">
        <v>1308.47</v>
      </c>
      <c r="J373">
        <v>3</v>
      </c>
      <c r="K373">
        <v>0.05</v>
      </c>
      <c r="L373" s="19">
        <v>44.53</v>
      </c>
      <c r="M373" t="s">
        <v>1290</v>
      </c>
    </row>
    <row r="374" spans="1:13" x14ac:dyDescent="0.3">
      <c r="A374" t="s">
        <v>383</v>
      </c>
      <c r="B374" s="2" t="s">
        <v>744</v>
      </c>
      <c r="C374" s="2" t="s">
        <v>1345</v>
      </c>
      <c r="D374" s="38" t="s">
        <v>783</v>
      </c>
      <c r="E374" t="s">
        <v>788</v>
      </c>
      <c r="F374" t="s">
        <v>796</v>
      </c>
      <c r="G374" s="38" t="s">
        <v>1169</v>
      </c>
      <c r="H374" s="19">
        <v>1212.96</v>
      </c>
      <c r="I374" s="19">
        <v>1337.06</v>
      </c>
      <c r="J374">
        <v>6</v>
      </c>
      <c r="K374">
        <v>0.2</v>
      </c>
      <c r="L374" s="19">
        <v>-124.1</v>
      </c>
      <c r="M374" t="s">
        <v>1291</v>
      </c>
    </row>
    <row r="375" spans="1:13" x14ac:dyDescent="0.3">
      <c r="A375" t="s">
        <v>384</v>
      </c>
      <c r="B375" s="2" t="s">
        <v>530</v>
      </c>
      <c r="C375" s="2" t="s">
        <v>1343</v>
      </c>
      <c r="D375" s="38" t="s">
        <v>786</v>
      </c>
      <c r="E375" t="s">
        <v>787</v>
      </c>
      <c r="F375" t="s">
        <v>790</v>
      </c>
      <c r="G375" s="38" t="s">
        <v>1170</v>
      </c>
      <c r="H375" s="19">
        <v>437.61</v>
      </c>
      <c r="I375" s="19">
        <v>372.34000000000003</v>
      </c>
      <c r="J375">
        <v>7</v>
      </c>
      <c r="K375">
        <v>0.05</v>
      </c>
      <c r="L375" s="19">
        <v>65.27</v>
      </c>
      <c r="M375" t="s">
        <v>1290</v>
      </c>
    </row>
    <row r="376" spans="1:13" x14ac:dyDescent="0.3">
      <c r="A376" t="s">
        <v>385</v>
      </c>
      <c r="B376" s="2" t="s">
        <v>745</v>
      </c>
      <c r="C376" s="2" t="s">
        <v>1352</v>
      </c>
      <c r="D376" s="38" t="s">
        <v>785</v>
      </c>
      <c r="E376" t="s">
        <v>788</v>
      </c>
      <c r="F376" t="s">
        <v>791</v>
      </c>
      <c r="G376" s="38" t="s">
        <v>1171</v>
      </c>
      <c r="H376" s="19">
        <v>1063.45</v>
      </c>
      <c r="I376" s="19">
        <v>905.95</v>
      </c>
      <c r="J376">
        <v>9</v>
      </c>
      <c r="K376">
        <v>0.1</v>
      </c>
      <c r="L376" s="19">
        <v>157.5</v>
      </c>
      <c r="M376" t="s">
        <v>1291</v>
      </c>
    </row>
    <row r="377" spans="1:13" x14ac:dyDescent="0.3">
      <c r="A377" t="s">
        <v>386</v>
      </c>
      <c r="B377" s="2" t="s">
        <v>746</v>
      </c>
      <c r="C377" s="2" t="s">
        <v>1354</v>
      </c>
      <c r="D377" s="38" t="s">
        <v>783</v>
      </c>
      <c r="E377" t="s">
        <v>789</v>
      </c>
      <c r="F377" t="s">
        <v>799</v>
      </c>
      <c r="G377" s="38" t="s">
        <v>1172</v>
      </c>
      <c r="H377" s="19">
        <v>1886.27</v>
      </c>
      <c r="I377" s="19">
        <v>1374.99</v>
      </c>
      <c r="J377">
        <v>8</v>
      </c>
      <c r="K377">
        <v>0</v>
      </c>
      <c r="L377" s="19">
        <v>511.28</v>
      </c>
      <c r="M377" t="s">
        <v>1289</v>
      </c>
    </row>
    <row r="378" spans="1:13" x14ac:dyDescent="0.3">
      <c r="A378" t="s">
        <v>387</v>
      </c>
      <c r="B378" s="2" t="s">
        <v>639</v>
      </c>
      <c r="C378" s="2" t="s">
        <v>1350</v>
      </c>
      <c r="D378" s="38" t="s">
        <v>784</v>
      </c>
      <c r="E378" t="s">
        <v>788</v>
      </c>
      <c r="F378" t="s">
        <v>793</v>
      </c>
      <c r="G378" s="38" t="s">
        <v>1173</v>
      </c>
      <c r="H378" s="19">
        <v>742.86</v>
      </c>
      <c r="I378" s="19">
        <v>596.79999999999995</v>
      </c>
      <c r="J378">
        <v>10</v>
      </c>
      <c r="K378">
        <v>0.1</v>
      </c>
      <c r="L378" s="19">
        <v>146.06</v>
      </c>
      <c r="M378" t="s">
        <v>1289</v>
      </c>
    </row>
    <row r="379" spans="1:13" x14ac:dyDescent="0.3">
      <c r="A379" t="s">
        <v>388</v>
      </c>
      <c r="B379" s="2" t="s">
        <v>747</v>
      </c>
      <c r="C379" s="2" t="s">
        <v>1344</v>
      </c>
      <c r="D379" s="38" t="s">
        <v>786</v>
      </c>
      <c r="E379" t="s">
        <v>788</v>
      </c>
      <c r="F379" t="s">
        <v>793</v>
      </c>
      <c r="G379" s="38" t="s">
        <v>1174</v>
      </c>
      <c r="H379" s="19">
        <v>639.03</v>
      </c>
      <c r="I379" s="19">
        <v>557.30999999999995</v>
      </c>
      <c r="J379">
        <v>3</v>
      </c>
      <c r="K379">
        <v>0.05</v>
      </c>
      <c r="L379" s="19">
        <v>81.72</v>
      </c>
      <c r="M379" t="s">
        <v>1291</v>
      </c>
    </row>
    <row r="380" spans="1:13" x14ac:dyDescent="0.3">
      <c r="A380" t="s">
        <v>389</v>
      </c>
      <c r="B380" s="2" t="s">
        <v>738</v>
      </c>
      <c r="C380" s="2" t="s">
        <v>1351</v>
      </c>
      <c r="D380" s="38" t="s">
        <v>785</v>
      </c>
      <c r="E380" t="s">
        <v>788</v>
      </c>
      <c r="F380" t="s">
        <v>795</v>
      </c>
      <c r="G380" s="38" t="s">
        <v>1175</v>
      </c>
      <c r="H380" s="19">
        <v>1371.41</v>
      </c>
      <c r="I380" s="19">
        <v>1371.28</v>
      </c>
      <c r="J380">
        <v>8</v>
      </c>
      <c r="K380">
        <v>0.1</v>
      </c>
      <c r="L380" s="19">
        <v>0.13</v>
      </c>
      <c r="M380" t="s">
        <v>1290</v>
      </c>
    </row>
    <row r="381" spans="1:13" x14ac:dyDescent="0.3">
      <c r="A381" t="s">
        <v>390</v>
      </c>
      <c r="B381" s="2" t="s">
        <v>748</v>
      </c>
      <c r="C381" s="2" t="s">
        <v>1351</v>
      </c>
      <c r="D381" s="38" t="s">
        <v>786</v>
      </c>
      <c r="E381" t="s">
        <v>788</v>
      </c>
      <c r="F381" t="s">
        <v>796</v>
      </c>
      <c r="G381" s="38" t="s">
        <v>1176</v>
      </c>
      <c r="H381" s="19">
        <v>828.77</v>
      </c>
      <c r="I381" s="19">
        <v>769.31999999999994</v>
      </c>
      <c r="J381">
        <v>7</v>
      </c>
      <c r="K381">
        <v>0.2</v>
      </c>
      <c r="L381" s="19">
        <v>59.45</v>
      </c>
      <c r="M381" t="s">
        <v>1291</v>
      </c>
    </row>
    <row r="382" spans="1:13" x14ac:dyDescent="0.3">
      <c r="A382" t="s">
        <v>391</v>
      </c>
      <c r="B382" s="2" t="s">
        <v>573</v>
      </c>
      <c r="C382" s="2" t="s">
        <v>1353</v>
      </c>
      <c r="D382" s="38" t="s">
        <v>786</v>
      </c>
      <c r="E382" t="s">
        <v>789</v>
      </c>
      <c r="F382" t="s">
        <v>799</v>
      </c>
      <c r="G382" s="38" t="s">
        <v>1177</v>
      </c>
      <c r="H382" s="19">
        <v>1357.88</v>
      </c>
      <c r="I382" s="19">
        <v>1470.8700000000001</v>
      </c>
      <c r="J382">
        <v>3</v>
      </c>
      <c r="K382">
        <v>0.15</v>
      </c>
      <c r="L382" s="19">
        <v>-112.99</v>
      </c>
      <c r="M382" t="s">
        <v>1289</v>
      </c>
    </row>
    <row r="383" spans="1:13" x14ac:dyDescent="0.3">
      <c r="A383" t="s">
        <v>392</v>
      </c>
      <c r="B383" s="2" t="s">
        <v>662</v>
      </c>
      <c r="C383" s="2" t="s">
        <v>1349</v>
      </c>
      <c r="D383" s="38" t="s">
        <v>786</v>
      </c>
      <c r="E383" t="s">
        <v>787</v>
      </c>
      <c r="F383" t="s">
        <v>792</v>
      </c>
      <c r="G383" s="38" t="s">
        <v>1178</v>
      </c>
      <c r="H383" s="19">
        <v>853.11</v>
      </c>
      <c r="I383" s="19">
        <v>896.93000000000006</v>
      </c>
      <c r="J383">
        <v>9</v>
      </c>
      <c r="K383">
        <v>0.2</v>
      </c>
      <c r="L383" s="19">
        <v>-43.82</v>
      </c>
      <c r="M383" t="s">
        <v>1291</v>
      </c>
    </row>
    <row r="384" spans="1:13" x14ac:dyDescent="0.3">
      <c r="A384" t="s">
        <v>393</v>
      </c>
      <c r="B384" s="2" t="s">
        <v>546</v>
      </c>
      <c r="C384" s="2" t="s">
        <v>1344</v>
      </c>
      <c r="D384" s="38" t="s">
        <v>785</v>
      </c>
      <c r="E384" t="s">
        <v>788</v>
      </c>
      <c r="F384" t="s">
        <v>793</v>
      </c>
      <c r="G384" s="38" t="s">
        <v>1179</v>
      </c>
      <c r="H384" s="19">
        <v>129.93</v>
      </c>
      <c r="I384" s="19">
        <v>136.08000000000001</v>
      </c>
      <c r="J384">
        <v>4</v>
      </c>
      <c r="K384">
        <v>0.15</v>
      </c>
      <c r="L384" s="19">
        <v>-6.15</v>
      </c>
      <c r="M384" t="s">
        <v>1289</v>
      </c>
    </row>
    <row r="385" spans="1:13" x14ac:dyDescent="0.3">
      <c r="A385" t="s">
        <v>394</v>
      </c>
      <c r="B385" s="2" t="s">
        <v>636</v>
      </c>
      <c r="C385" s="2" t="s">
        <v>1348</v>
      </c>
      <c r="D385" s="38" t="s">
        <v>783</v>
      </c>
      <c r="E385" t="s">
        <v>787</v>
      </c>
      <c r="F385" t="s">
        <v>792</v>
      </c>
      <c r="G385" s="38" t="s">
        <v>1180</v>
      </c>
      <c r="H385" s="19">
        <v>1951.6</v>
      </c>
      <c r="I385" s="19">
        <v>1501.53</v>
      </c>
      <c r="J385">
        <v>7</v>
      </c>
      <c r="K385">
        <v>0</v>
      </c>
      <c r="L385" s="19">
        <v>450.07</v>
      </c>
      <c r="M385" t="s">
        <v>1290</v>
      </c>
    </row>
    <row r="386" spans="1:13" x14ac:dyDescent="0.3">
      <c r="A386" t="s">
        <v>395</v>
      </c>
      <c r="B386" s="2" t="s">
        <v>749</v>
      </c>
      <c r="C386" s="2" t="s">
        <v>1352</v>
      </c>
      <c r="D386" s="38" t="s">
        <v>786</v>
      </c>
      <c r="E386" t="s">
        <v>787</v>
      </c>
      <c r="F386" t="s">
        <v>792</v>
      </c>
      <c r="G386" s="38" t="s">
        <v>1181</v>
      </c>
      <c r="H386" s="19">
        <v>1117.99</v>
      </c>
      <c r="I386" s="19">
        <v>882.58</v>
      </c>
      <c r="J386">
        <v>6</v>
      </c>
      <c r="K386">
        <v>0.05</v>
      </c>
      <c r="L386" s="19">
        <v>235.41</v>
      </c>
      <c r="M386" t="s">
        <v>1290</v>
      </c>
    </row>
    <row r="387" spans="1:13" x14ac:dyDescent="0.3">
      <c r="A387" t="s">
        <v>396</v>
      </c>
      <c r="B387" s="2" t="s">
        <v>527</v>
      </c>
      <c r="C387" s="2" t="s">
        <v>1350</v>
      </c>
      <c r="D387" s="38" t="s">
        <v>783</v>
      </c>
      <c r="E387" t="s">
        <v>789</v>
      </c>
      <c r="F387" t="s">
        <v>794</v>
      </c>
      <c r="G387" s="38" t="s">
        <v>1182</v>
      </c>
      <c r="H387" s="19">
        <v>801.7</v>
      </c>
      <c r="I387" s="19">
        <v>610.17000000000007</v>
      </c>
      <c r="J387">
        <v>3</v>
      </c>
      <c r="K387">
        <v>0.05</v>
      </c>
      <c r="L387" s="19">
        <v>191.53</v>
      </c>
      <c r="M387" t="s">
        <v>1290</v>
      </c>
    </row>
    <row r="388" spans="1:13" x14ac:dyDescent="0.3">
      <c r="A388" t="s">
        <v>397</v>
      </c>
      <c r="B388" s="2" t="s">
        <v>638</v>
      </c>
      <c r="C388" s="2" t="s">
        <v>1344</v>
      </c>
      <c r="D388" s="38" t="s">
        <v>784</v>
      </c>
      <c r="E388" t="s">
        <v>787</v>
      </c>
      <c r="F388" t="s">
        <v>800</v>
      </c>
      <c r="G388" s="38" t="s">
        <v>1002</v>
      </c>
      <c r="H388" s="19">
        <v>1131.44</v>
      </c>
      <c r="I388" s="19">
        <v>1135.77</v>
      </c>
      <c r="J388">
        <v>7</v>
      </c>
      <c r="K388">
        <v>0.1</v>
      </c>
      <c r="L388" s="19">
        <v>-4.33</v>
      </c>
      <c r="M388" t="s">
        <v>1289</v>
      </c>
    </row>
    <row r="389" spans="1:13" x14ac:dyDescent="0.3">
      <c r="A389" t="s">
        <v>398</v>
      </c>
      <c r="B389" s="2" t="s">
        <v>748</v>
      </c>
      <c r="C389" s="2" t="s">
        <v>1351</v>
      </c>
      <c r="D389" s="38" t="s">
        <v>786</v>
      </c>
      <c r="E389" t="s">
        <v>787</v>
      </c>
      <c r="F389" t="s">
        <v>790</v>
      </c>
      <c r="G389" s="38" t="s">
        <v>1183</v>
      </c>
      <c r="H389" s="19">
        <v>1981.38</v>
      </c>
      <c r="I389" s="19">
        <v>2068.02</v>
      </c>
      <c r="J389">
        <v>8</v>
      </c>
      <c r="K389">
        <v>0.15</v>
      </c>
      <c r="L389" s="19">
        <v>-86.64</v>
      </c>
      <c r="M389" t="s">
        <v>1289</v>
      </c>
    </row>
    <row r="390" spans="1:13" x14ac:dyDescent="0.3">
      <c r="A390" t="s">
        <v>399</v>
      </c>
      <c r="B390" s="2" t="s">
        <v>528</v>
      </c>
      <c r="C390" s="2" t="s">
        <v>1348</v>
      </c>
      <c r="D390" s="38" t="s">
        <v>786</v>
      </c>
      <c r="E390" t="s">
        <v>789</v>
      </c>
      <c r="F390" t="s">
        <v>797</v>
      </c>
      <c r="G390" s="38" t="s">
        <v>1184</v>
      </c>
      <c r="H390" s="19">
        <v>301.70999999999998</v>
      </c>
      <c r="I390" s="19">
        <v>299.16999999999996</v>
      </c>
      <c r="J390">
        <v>10</v>
      </c>
      <c r="K390">
        <v>0.2</v>
      </c>
      <c r="L390" s="19">
        <v>2.54</v>
      </c>
      <c r="M390" t="s">
        <v>1289</v>
      </c>
    </row>
    <row r="391" spans="1:13" x14ac:dyDescent="0.3">
      <c r="A391" t="s">
        <v>400</v>
      </c>
      <c r="B391" s="2" t="s">
        <v>631</v>
      </c>
      <c r="C391" s="2" t="s">
        <v>1347</v>
      </c>
      <c r="D391" s="38" t="s">
        <v>786</v>
      </c>
      <c r="E391" t="s">
        <v>788</v>
      </c>
      <c r="F391" t="s">
        <v>796</v>
      </c>
      <c r="G391" s="38" t="s">
        <v>1185</v>
      </c>
      <c r="H391" s="19">
        <v>635.85</v>
      </c>
      <c r="I391" s="19">
        <v>606.54000000000008</v>
      </c>
      <c r="J391">
        <v>10</v>
      </c>
      <c r="K391">
        <v>0.05</v>
      </c>
      <c r="L391" s="19">
        <v>29.31</v>
      </c>
      <c r="M391" t="s">
        <v>1291</v>
      </c>
    </row>
    <row r="392" spans="1:13" x14ac:dyDescent="0.3">
      <c r="A392" t="s">
        <v>401</v>
      </c>
      <c r="B392" s="2" t="s">
        <v>733</v>
      </c>
      <c r="C392" s="2" t="s">
        <v>1354</v>
      </c>
      <c r="D392" s="38" t="s">
        <v>785</v>
      </c>
      <c r="E392" t="s">
        <v>787</v>
      </c>
      <c r="F392" t="s">
        <v>792</v>
      </c>
      <c r="G392" s="38" t="s">
        <v>1186</v>
      </c>
      <c r="H392" s="19">
        <v>1161.5899999999999</v>
      </c>
      <c r="I392" s="19">
        <v>1036.5</v>
      </c>
      <c r="J392">
        <v>2</v>
      </c>
      <c r="K392">
        <v>0.05</v>
      </c>
      <c r="L392" s="19">
        <v>125.09</v>
      </c>
      <c r="M392" t="s">
        <v>1289</v>
      </c>
    </row>
    <row r="393" spans="1:13" x14ac:dyDescent="0.3">
      <c r="A393" t="s">
        <v>402</v>
      </c>
      <c r="B393" s="2" t="s">
        <v>677</v>
      </c>
      <c r="C393" s="2" t="s">
        <v>1350</v>
      </c>
      <c r="D393" s="38" t="s">
        <v>783</v>
      </c>
      <c r="E393" t="s">
        <v>788</v>
      </c>
      <c r="F393" t="s">
        <v>791</v>
      </c>
      <c r="G393" s="38" t="s">
        <v>967</v>
      </c>
      <c r="H393" s="19">
        <v>511.24</v>
      </c>
      <c r="I393" s="19">
        <v>445.02</v>
      </c>
      <c r="J393">
        <v>6</v>
      </c>
      <c r="K393">
        <v>0.05</v>
      </c>
      <c r="L393" s="19">
        <v>66.22</v>
      </c>
      <c r="M393" t="s">
        <v>1290</v>
      </c>
    </row>
    <row r="394" spans="1:13" x14ac:dyDescent="0.3">
      <c r="A394" t="s">
        <v>403</v>
      </c>
      <c r="B394" s="2" t="s">
        <v>679</v>
      </c>
      <c r="C394" s="2" t="s">
        <v>1350</v>
      </c>
      <c r="D394" s="38" t="s">
        <v>785</v>
      </c>
      <c r="E394" t="s">
        <v>789</v>
      </c>
      <c r="F394" t="s">
        <v>798</v>
      </c>
      <c r="G394" s="38" t="s">
        <v>1187</v>
      </c>
      <c r="H394" s="19">
        <v>1283.6600000000001</v>
      </c>
      <c r="I394" s="19">
        <v>1156.1000000000001</v>
      </c>
      <c r="J394">
        <v>6</v>
      </c>
      <c r="K394">
        <v>0.05</v>
      </c>
      <c r="L394" s="19">
        <v>127.56</v>
      </c>
      <c r="M394" t="s">
        <v>1289</v>
      </c>
    </row>
    <row r="395" spans="1:13" x14ac:dyDescent="0.3">
      <c r="A395" t="s">
        <v>404</v>
      </c>
      <c r="B395" s="2" t="s">
        <v>605</v>
      </c>
      <c r="C395" s="2" t="s">
        <v>1346</v>
      </c>
      <c r="D395" s="38" t="s">
        <v>785</v>
      </c>
      <c r="E395" t="s">
        <v>788</v>
      </c>
      <c r="F395" t="s">
        <v>796</v>
      </c>
      <c r="G395" s="38" t="s">
        <v>1188</v>
      </c>
      <c r="H395" s="19">
        <v>1831.42</v>
      </c>
      <c r="I395" s="19">
        <v>1478.45</v>
      </c>
      <c r="J395">
        <v>1</v>
      </c>
      <c r="K395">
        <v>0.1</v>
      </c>
      <c r="L395" s="19">
        <v>352.97</v>
      </c>
      <c r="M395" t="s">
        <v>1290</v>
      </c>
    </row>
    <row r="396" spans="1:13" x14ac:dyDescent="0.3">
      <c r="A396" t="s">
        <v>405</v>
      </c>
      <c r="B396" s="2" t="s">
        <v>574</v>
      </c>
      <c r="C396" s="2" t="s">
        <v>1350</v>
      </c>
      <c r="D396" s="38" t="s">
        <v>786</v>
      </c>
      <c r="E396" t="s">
        <v>787</v>
      </c>
      <c r="F396" t="s">
        <v>801</v>
      </c>
      <c r="G396" s="38" t="s">
        <v>1189</v>
      </c>
      <c r="H396" s="19">
        <v>752.73</v>
      </c>
      <c r="I396" s="19">
        <v>576.54999999999995</v>
      </c>
      <c r="J396">
        <v>3</v>
      </c>
      <c r="K396">
        <v>0.05</v>
      </c>
      <c r="L396" s="19">
        <v>176.18</v>
      </c>
      <c r="M396" t="s">
        <v>1291</v>
      </c>
    </row>
    <row r="397" spans="1:13" x14ac:dyDescent="0.3">
      <c r="A397" t="s">
        <v>406</v>
      </c>
      <c r="B397" s="2" t="s">
        <v>566</v>
      </c>
      <c r="C397" s="2" t="s">
        <v>1354</v>
      </c>
      <c r="D397" s="38" t="s">
        <v>783</v>
      </c>
      <c r="E397" t="s">
        <v>787</v>
      </c>
      <c r="F397" t="s">
        <v>792</v>
      </c>
      <c r="G397" s="38" t="s">
        <v>1190</v>
      </c>
      <c r="H397" s="19">
        <v>1327.14</v>
      </c>
      <c r="I397" s="19">
        <v>1376.91</v>
      </c>
      <c r="J397">
        <v>6</v>
      </c>
      <c r="K397">
        <v>0.15</v>
      </c>
      <c r="L397" s="19">
        <v>-49.77</v>
      </c>
      <c r="M397" t="s">
        <v>1291</v>
      </c>
    </row>
    <row r="398" spans="1:13" x14ac:dyDescent="0.3">
      <c r="A398" t="s">
        <v>407</v>
      </c>
      <c r="B398" s="2" t="s">
        <v>750</v>
      </c>
      <c r="C398" s="2" t="s">
        <v>1353</v>
      </c>
      <c r="D398" s="38" t="s">
        <v>784</v>
      </c>
      <c r="E398" t="s">
        <v>788</v>
      </c>
      <c r="F398" t="s">
        <v>795</v>
      </c>
      <c r="G398" s="38" t="s">
        <v>1191</v>
      </c>
      <c r="H398" s="19">
        <v>510.57</v>
      </c>
      <c r="I398" s="19">
        <v>428.07</v>
      </c>
      <c r="J398">
        <v>7</v>
      </c>
      <c r="K398">
        <v>0.1</v>
      </c>
      <c r="L398" s="19">
        <v>82.5</v>
      </c>
      <c r="M398" t="s">
        <v>1291</v>
      </c>
    </row>
    <row r="399" spans="1:13" x14ac:dyDescent="0.3">
      <c r="A399" t="s">
        <v>408</v>
      </c>
      <c r="B399" s="2" t="s">
        <v>751</v>
      </c>
      <c r="C399" s="2" t="s">
        <v>1354</v>
      </c>
      <c r="D399" s="38" t="s">
        <v>785</v>
      </c>
      <c r="E399" t="s">
        <v>789</v>
      </c>
      <c r="F399" t="s">
        <v>798</v>
      </c>
      <c r="G399" s="38" t="s">
        <v>1192</v>
      </c>
      <c r="H399" s="19">
        <v>1865.18</v>
      </c>
      <c r="I399" s="19">
        <v>1863.96</v>
      </c>
      <c r="J399">
        <v>2</v>
      </c>
      <c r="K399">
        <v>0.1</v>
      </c>
      <c r="L399" s="19">
        <v>1.22</v>
      </c>
      <c r="M399" t="s">
        <v>1289</v>
      </c>
    </row>
    <row r="400" spans="1:13" x14ac:dyDescent="0.3">
      <c r="A400" t="s">
        <v>409</v>
      </c>
      <c r="B400" s="2" t="s">
        <v>644</v>
      </c>
      <c r="C400" s="2" t="s">
        <v>1347</v>
      </c>
      <c r="D400" s="38" t="s">
        <v>784</v>
      </c>
      <c r="E400" t="s">
        <v>789</v>
      </c>
      <c r="F400" t="s">
        <v>794</v>
      </c>
      <c r="G400" s="38" t="s">
        <v>1193</v>
      </c>
      <c r="H400" s="19">
        <v>1501.53</v>
      </c>
      <c r="I400" s="19">
        <v>1370.08</v>
      </c>
      <c r="J400">
        <v>2</v>
      </c>
      <c r="K400">
        <v>0</v>
      </c>
      <c r="L400" s="19">
        <v>131.44999999999999</v>
      </c>
      <c r="M400" t="s">
        <v>1289</v>
      </c>
    </row>
    <row r="401" spans="1:13" x14ac:dyDescent="0.3">
      <c r="A401" t="s">
        <v>410</v>
      </c>
      <c r="B401" s="2" t="s">
        <v>626</v>
      </c>
      <c r="C401" s="2" t="s">
        <v>1344</v>
      </c>
      <c r="D401" s="38" t="s">
        <v>785</v>
      </c>
      <c r="E401" t="s">
        <v>789</v>
      </c>
      <c r="F401" t="s">
        <v>799</v>
      </c>
      <c r="G401" s="38" t="s">
        <v>1194</v>
      </c>
      <c r="H401" s="19">
        <v>212.03</v>
      </c>
      <c r="I401" s="19">
        <v>185.45</v>
      </c>
      <c r="J401">
        <v>1</v>
      </c>
      <c r="K401">
        <v>0.15</v>
      </c>
      <c r="L401" s="19">
        <v>26.58</v>
      </c>
      <c r="M401" t="s">
        <v>1289</v>
      </c>
    </row>
    <row r="402" spans="1:13" x14ac:dyDescent="0.3">
      <c r="A402" t="s">
        <v>411</v>
      </c>
      <c r="B402" s="2" t="s">
        <v>752</v>
      </c>
      <c r="C402" s="2" t="s">
        <v>1354</v>
      </c>
      <c r="D402" s="38" t="s">
        <v>786</v>
      </c>
      <c r="E402" t="s">
        <v>788</v>
      </c>
      <c r="F402" t="s">
        <v>796</v>
      </c>
      <c r="G402" s="38" t="s">
        <v>1195</v>
      </c>
      <c r="H402" s="19">
        <v>1193.55</v>
      </c>
      <c r="I402" s="19">
        <v>1203.26</v>
      </c>
      <c r="J402">
        <v>5</v>
      </c>
      <c r="K402">
        <v>0.1</v>
      </c>
      <c r="L402" s="19">
        <v>-9.7100000000000009</v>
      </c>
      <c r="M402" t="s">
        <v>1291</v>
      </c>
    </row>
    <row r="403" spans="1:13" x14ac:dyDescent="0.3">
      <c r="A403" t="s">
        <v>412</v>
      </c>
      <c r="B403" s="2" t="s">
        <v>753</v>
      </c>
      <c r="C403" s="2" t="s">
        <v>1346</v>
      </c>
      <c r="D403" s="38" t="s">
        <v>785</v>
      </c>
      <c r="E403" t="s">
        <v>787</v>
      </c>
      <c r="F403" t="s">
        <v>790</v>
      </c>
      <c r="G403" s="38" t="s">
        <v>1196</v>
      </c>
      <c r="H403" s="19">
        <v>1940.92</v>
      </c>
      <c r="I403" s="19">
        <v>1620.06</v>
      </c>
      <c r="J403">
        <v>8</v>
      </c>
      <c r="K403">
        <v>0.1</v>
      </c>
      <c r="L403" s="19">
        <v>320.86</v>
      </c>
      <c r="M403" t="s">
        <v>1290</v>
      </c>
    </row>
    <row r="404" spans="1:13" x14ac:dyDescent="0.3">
      <c r="A404" t="s">
        <v>413</v>
      </c>
      <c r="B404" s="2" t="s">
        <v>754</v>
      </c>
      <c r="C404" s="2" t="s">
        <v>1346</v>
      </c>
      <c r="D404" s="38" t="s">
        <v>786</v>
      </c>
      <c r="E404" t="s">
        <v>787</v>
      </c>
      <c r="F404" t="s">
        <v>801</v>
      </c>
      <c r="G404" s="38" t="s">
        <v>1197</v>
      </c>
      <c r="H404" s="19">
        <v>462.73</v>
      </c>
      <c r="I404" s="19">
        <v>356.68</v>
      </c>
      <c r="J404">
        <v>4</v>
      </c>
      <c r="K404">
        <v>0</v>
      </c>
      <c r="L404" s="19">
        <v>106.05</v>
      </c>
      <c r="M404" t="s">
        <v>1290</v>
      </c>
    </row>
    <row r="405" spans="1:13" x14ac:dyDescent="0.3">
      <c r="A405" t="s">
        <v>414</v>
      </c>
      <c r="B405" s="2" t="s">
        <v>597</v>
      </c>
      <c r="C405" s="2" t="s">
        <v>1351</v>
      </c>
      <c r="D405" s="38" t="s">
        <v>783</v>
      </c>
      <c r="E405" t="s">
        <v>789</v>
      </c>
      <c r="F405" t="s">
        <v>798</v>
      </c>
      <c r="G405" s="38" t="s">
        <v>1198</v>
      </c>
      <c r="H405" s="19">
        <v>690.76</v>
      </c>
      <c r="I405" s="19">
        <v>677.02</v>
      </c>
      <c r="J405">
        <v>8</v>
      </c>
      <c r="K405">
        <v>0.15</v>
      </c>
      <c r="L405" s="19">
        <v>13.74</v>
      </c>
      <c r="M405" t="s">
        <v>1289</v>
      </c>
    </row>
    <row r="406" spans="1:13" x14ac:dyDescent="0.3">
      <c r="A406" t="s">
        <v>415</v>
      </c>
      <c r="B406" s="2" t="s">
        <v>664</v>
      </c>
      <c r="C406" s="2" t="s">
        <v>1349</v>
      </c>
      <c r="D406" s="38" t="s">
        <v>785</v>
      </c>
      <c r="E406" t="s">
        <v>788</v>
      </c>
      <c r="F406" t="s">
        <v>791</v>
      </c>
      <c r="G406" s="38" t="s">
        <v>1199</v>
      </c>
      <c r="H406" s="19">
        <v>1598.36</v>
      </c>
      <c r="I406" s="19">
        <v>1507.82</v>
      </c>
      <c r="J406">
        <v>8</v>
      </c>
      <c r="K406">
        <v>0</v>
      </c>
      <c r="L406" s="19">
        <v>90.54</v>
      </c>
      <c r="M406" t="s">
        <v>1289</v>
      </c>
    </row>
    <row r="407" spans="1:13" x14ac:dyDescent="0.3">
      <c r="A407" t="s">
        <v>416</v>
      </c>
      <c r="B407" s="2" t="s">
        <v>520</v>
      </c>
      <c r="C407" s="2" t="s">
        <v>1344</v>
      </c>
      <c r="D407" s="38" t="s">
        <v>784</v>
      </c>
      <c r="E407" t="s">
        <v>787</v>
      </c>
      <c r="F407" t="s">
        <v>792</v>
      </c>
      <c r="G407" s="38" t="s">
        <v>1200</v>
      </c>
      <c r="H407" s="19">
        <v>415.9</v>
      </c>
      <c r="I407" s="19">
        <v>299.22999999999996</v>
      </c>
      <c r="J407">
        <v>6</v>
      </c>
      <c r="K407">
        <v>0</v>
      </c>
      <c r="L407" s="19">
        <v>116.67</v>
      </c>
      <c r="M407" t="s">
        <v>1291</v>
      </c>
    </row>
    <row r="408" spans="1:13" x14ac:dyDescent="0.3">
      <c r="A408" t="s">
        <v>417</v>
      </c>
      <c r="B408" s="2" t="s">
        <v>704</v>
      </c>
      <c r="C408" s="2" t="s">
        <v>1349</v>
      </c>
      <c r="D408" s="38" t="s">
        <v>785</v>
      </c>
      <c r="E408" t="s">
        <v>789</v>
      </c>
      <c r="F408" t="s">
        <v>799</v>
      </c>
      <c r="G408" s="38" t="s">
        <v>1201</v>
      </c>
      <c r="H408" s="19">
        <v>1770.44</v>
      </c>
      <c r="I408" s="19">
        <v>1795.52</v>
      </c>
      <c r="J408">
        <v>1</v>
      </c>
      <c r="K408">
        <v>0.15</v>
      </c>
      <c r="L408" s="19">
        <v>-25.08</v>
      </c>
      <c r="M408" t="s">
        <v>1291</v>
      </c>
    </row>
    <row r="409" spans="1:13" x14ac:dyDescent="0.3">
      <c r="A409" t="s">
        <v>418</v>
      </c>
      <c r="B409" s="2" t="s">
        <v>670</v>
      </c>
      <c r="C409" s="2" t="s">
        <v>1351</v>
      </c>
      <c r="D409" s="38" t="s">
        <v>783</v>
      </c>
      <c r="E409" t="s">
        <v>787</v>
      </c>
      <c r="F409" t="s">
        <v>800</v>
      </c>
      <c r="G409" s="38" t="s">
        <v>1202</v>
      </c>
      <c r="H409" s="19">
        <v>121.49</v>
      </c>
      <c r="I409" s="19">
        <v>91.259999999999991</v>
      </c>
      <c r="J409">
        <v>9</v>
      </c>
      <c r="K409">
        <v>0</v>
      </c>
      <c r="L409" s="19">
        <v>30.23</v>
      </c>
      <c r="M409" t="s">
        <v>1290</v>
      </c>
    </row>
    <row r="410" spans="1:13" x14ac:dyDescent="0.3">
      <c r="A410" t="s">
        <v>419</v>
      </c>
      <c r="B410" s="2" t="s">
        <v>755</v>
      </c>
      <c r="C410" s="2" t="s">
        <v>1345</v>
      </c>
      <c r="D410" s="38" t="s">
        <v>785</v>
      </c>
      <c r="E410" t="s">
        <v>788</v>
      </c>
      <c r="F410" t="s">
        <v>793</v>
      </c>
      <c r="G410" s="38" t="s">
        <v>1203</v>
      </c>
      <c r="H410" s="19">
        <v>1095.22</v>
      </c>
      <c r="I410" s="19">
        <v>1062.68</v>
      </c>
      <c r="J410">
        <v>4</v>
      </c>
      <c r="K410">
        <v>0.2</v>
      </c>
      <c r="L410" s="19">
        <v>32.54</v>
      </c>
      <c r="M410" t="s">
        <v>1290</v>
      </c>
    </row>
    <row r="411" spans="1:13" x14ac:dyDescent="0.3">
      <c r="A411" t="s">
        <v>420</v>
      </c>
      <c r="B411" s="2" t="s">
        <v>756</v>
      </c>
      <c r="C411" s="2" t="s">
        <v>1354</v>
      </c>
      <c r="D411" s="38" t="s">
        <v>786</v>
      </c>
      <c r="E411" t="s">
        <v>789</v>
      </c>
      <c r="F411" t="s">
        <v>797</v>
      </c>
      <c r="G411" s="38" t="s">
        <v>1204</v>
      </c>
      <c r="H411" s="19">
        <v>110.28</v>
      </c>
      <c r="I411" s="19">
        <v>100.35</v>
      </c>
      <c r="J411">
        <v>9</v>
      </c>
      <c r="K411">
        <v>0.05</v>
      </c>
      <c r="L411" s="19">
        <v>9.93</v>
      </c>
      <c r="M411" t="s">
        <v>1289</v>
      </c>
    </row>
    <row r="412" spans="1:13" x14ac:dyDescent="0.3">
      <c r="A412" t="s">
        <v>421</v>
      </c>
      <c r="B412" s="2" t="s">
        <v>757</v>
      </c>
      <c r="C412" s="2" t="s">
        <v>1351</v>
      </c>
      <c r="D412" s="38" t="s">
        <v>784</v>
      </c>
      <c r="E412" t="s">
        <v>787</v>
      </c>
      <c r="F412" t="s">
        <v>801</v>
      </c>
      <c r="G412" s="38" t="s">
        <v>1205</v>
      </c>
      <c r="H412" s="19">
        <v>593.21</v>
      </c>
      <c r="I412" s="19">
        <v>556.78000000000009</v>
      </c>
      <c r="J412">
        <v>4</v>
      </c>
      <c r="K412">
        <v>0.1</v>
      </c>
      <c r="L412" s="19">
        <v>36.43</v>
      </c>
      <c r="M412" t="s">
        <v>1289</v>
      </c>
    </row>
    <row r="413" spans="1:13" x14ac:dyDescent="0.3">
      <c r="A413" t="s">
        <v>422</v>
      </c>
      <c r="B413" s="2" t="s">
        <v>708</v>
      </c>
      <c r="C413" s="2" t="s">
        <v>1352</v>
      </c>
      <c r="D413" s="38" t="s">
        <v>784</v>
      </c>
      <c r="E413" t="s">
        <v>787</v>
      </c>
      <c r="F413" t="s">
        <v>801</v>
      </c>
      <c r="G413" s="38" t="s">
        <v>1206</v>
      </c>
      <c r="H413" s="19">
        <v>1520.62</v>
      </c>
      <c r="I413" s="19">
        <v>1674.3999999999999</v>
      </c>
      <c r="J413">
        <v>8</v>
      </c>
      <c r="K413">
        <v>0.2</v>
      </c>
      <c r="L413" s="19">
        <v>-153.78</v>
      </c>
      <c r="M413" t="s">
        <v>1289</v>
      </c>
    </row>
    <row r="414" spans="1:13" x14ac:dyDescent="0.3">
      <c r="A414" t="s">
        <v>423</v>
      </c>
      <c r="B414" s="2" t="s">
        <v>758</v>
      </c>
      <c r="C414" s="2" t="s">
        <v>1346</v>
      </c>
      <c r="D414" s="38" t="s">
        <v>784</v>
      </c>
      <c r="E414" t="s">
        <v>789</v>
      </c>
      <c r="F414" t="s">
        <v>799</v>
      </c>
      <c r="G414" s="38" t="s">
        <v>1207</v>
      </c>
      <c r="H414" s="19">
        <v>349.43</v>
      </c>
      <c r="I414" s="19">
        <v>348.21</v>
      </c>
      <c r="J414">
        <v>2</v>
      </c>
      <c r="K414">
        <v>0.2</v>
      </c>
      <c r="L414" s="19">
        <v>1.22</v>
      </c>
      <c r="M414" t="s">
        <v>1289</v>
      </c>
    </row>
    <row r="415" spans="1:13" x14ac:dyDescent="0.3">
      <c r="A415" t="s">
        <v>424</v>
      </c>
      <c r="B415" s="2" t="s">
        <v>517</v>
      </c>
      <c r="C415" s="2" t="s">
        <v>1348</v>
      </c>
      <c r="D415" s="38" t="s">
        <v>785</v>
      </c>
      <c r="E415" t="s">
        <v>789</v>
      </c>
      <c r="F415" t="s">
        <v>794</v>
      </c>
      <c r="G415" s="38" t="s">
        <v>1208</v>
      </c>
      <c r="H415" s="19">
        <v>924.98</v>
      </c>
      <c r="I415" s="19">
        <v>1024.3800000000001</v>
      </c>
      <c r="J415">
        <v>6</v>
      </c>
      <c r="K415">
        <v>0.2</v>
      </c>
      <c r="L415" s="19">
        <v>-99.4</v>
      </c>
      <c r="M415" t="s">
        <v>1289</v>
      </c>
    </row>
    <row r="416" spans="1:13" x14ac:dyDescent="0.3">
      <c r="A416" t="s">
        <v>425</v>
      </c>
      <c r="B416" s="2" t="s">
        <v>729</v>
      </c>
      <c r="C416" s="2" t="s">
        <v>1345</v>
      </c>
      <c r="D416" s="38" t="s">
        <v>783</v>
      </c>
      <c r="E416" t="s">
        <v>787</v>
      </c>
      <c r="F416" t="s">
        <v>801</v>
      </c>
      <c r="G416" s="38" t="s">
        <v>1209</v>
      </c>
      <c r="H416" s="19">
        <v>1509.87</v>
      </c>
      <c r="I416" s="19">
        <v>1121.3799999999999</v>
      </c>
      <c r="J416">
        <v>4</v>
      </c>
      <c r="K416">
        <v>0</v>
      </c>
      <c r="L416" s="19">
        <v>388.49</v>
      </c>
      <c r="M416" t="s">
        <v>1291</v>
      </c>
    </row>
    <row r="417" spans="1:13" x14ac:dyDescent="0.3">
      <c r="A417" t="s">
        <v>426</v>
      </c>
      <c r="B417" s="2" t="s">
        <v>759</v>
      </c>
      <c r="C417" s="2" t="s">
        <v>1352</v>
      </c>
      <c r="D417" s="38" t="s">
        <v>783</v>
      </c>
      <c r="E417" t="s">
        <v>789</v>
      </c>
      <c r="F417" t="s">
        <v>799</v>
      </c>
      <c r="G417" s="38" t="s">
        <v>1210</v>
      </c>
      <c r="H417" s="19">
        <v>1592.97</v>
      </c>
      <c r="I417" s="19">
        <v>1543.32</v>
      </c>
      <c r="J417">
        <v>2</v>
      </c>
      <c r="K417">
        <v>0.1</v>
      </c>
      <c r="L417" s="19">
        <v>49.65</v>
      </c>
      <c r="M417" t="s">
        <v>1291</v>
      </c>
    </row>
    <row r="418" spans="1:13" x14ac:dyDescent="0.3">
      <c r="A418" t="s">
        <v>427</v>
      </c>
      <c r="B418" s="2" t="s">
        <v>751</v>
      </c>
      <c r="C418" s="2" t="s">
        <v>1354</v>
      </c>
      <c r="D418" s="38" t="s">
        <v>785</v>
      </c>
      <c r="E418" t="s">
        <v>789</v>
      </c>
      <c r="F418" t="s">
        <v>798</v>
      </c>
      <c r="G418" s="38" t="s">
        <v>1211</v>
      </c>
      <c r="H418" s="19">
        <v>746.6</v>
      </c>
      <c r="I418" s="19">
        <v>603.98</v>
      </c>
      <c r="J418">
        <v>1</v>
      </c>
      <c r="K418">
        <v>0.1</v>
      </c>
      <c r="L418" s="19">
        <v>142.62</v>
      </c>
      <c r="M418" t="s">
        <v>1290</v>
      </c>
    </row>
    <row r="419" spans="1:13" x14ac:dyDescent="0.3">
      <c r="A419" t="s">
        <v>428</v>
      </c>
      <c r="B419" s="2" t="s">
        <v>760</v>
      </c>
      <c r="C419" s="2" t="s">
        <v>1345</v>
      </c>
      <c r="D419" s="38" t="s">
        <v>783</v>
      </c>
      <c r="E419" t="s">
        <v>787</v>
      </c>
      <c r="F419" t="s">
        <v>800</v>
      </c>
      <c r="G419" s="38" t="s">
        <v>1212</v>
      </c>
      <c r="H419" s="19">
        <v>685.92</v>
      </c>
      <c r="I419" s="19">
        <v>593.45999999999992</v>
      </c>
      <c r="J419">
        <v>5</v>
      </c>
      <c r="K419">
        <v>0.05</v>
      </c>
      <c r="L419" s="19">
        <v>92.46</v>
      </c>
      <c r="M419" t="s">
        <v>1291</v>
      </c>
    </row>
    <row r="420" spans="1:13" x14ac:dyDescent="0.3">
      <c r="A420" t="s">
        <v>429</v>
      </c>
      <c r="B420" s="2" t="s">
        <v>761</v>
      </c>
      <c r="C420" s="2" t="s">
        <v>1352</v>
      </c>
      <c r="D420" s="38" t="s">
        <v>785</v>
      </c>
      <c r="E420" t="s">
        <v>787</v>
      </c>
      <c r="F420" t="s">
        <v>792</v>
      </c>
      <c r="G420" s="38" t="s">
        <v>1213</v>
      </c>
      <c r="H420" s="19">
        <v>1207.02</v>
      </c>
      <c r="I420" s="19">
        <v>1127.1399999999999</v>
      </c>
      <c r="J420">
        <v>4</v>
      </c>
      <c r="K420">
        <v>0.05</v>
      </c>
      <c r="L420" s="19">
        <v>79.88</v>
      </c>
      <c r="M420" t="s">
        <v>1291</v>
      </c>
    </row>
    <row r="421" spans="1:13" x14ac:dyDescent="0.3">
      <c r="A421" t="s">
        <v>430</v>
      </c>
      <c r="B421" s="2" t="s">
        <v>549</v>
      </c>
      <c r="C421" s="2" t="s">
        <v>1348</v>
      </c>
      <c r="D421" s="38" t="s">
        <v>785</v>
      </c>
      <c r="E421" t="s">
        <v>788</v>
      </c>
      <c r="F421" t="s">
        <v>793</v>
      </c>
      <c r="G421" s="38" t="s">
        <v>1214</v>
      </c>
      <c r="H421" s="19">
        <v>891.22</v>
      </c>
      <c r="I421" s="19">
        <v>682.62</v>
      </c>
      <c r="J421">
        <v>1</v>
      </c>
      <c r="K421">
        <v>0.05</v>
      </c>
      <c r="L421" s="19">
        <v>208.6</v>
      </c>
      <c r="M421" t="s">
        <v>1291</v>
      </c>
    </row>
    <row r="422" spans="1:13" x14ac:dyDescent="0.3">
      <c r="A422" t="s">
        <v>431</v>
      </c>
      <c r="B422" s="2" t="s">
        <v>762</v>
      </c>
      <c r="C422" s="2" t="s">
        <v>1345</v>
      </c>
      <c r="D422" s="38" t="s">
        <v>783</v>
      </c>
      <c r="E422" t="s">
        <v>787</v>
      </c>
      <c r="F422" t="s">
        <v>801</v>
      </c>
      <c r="G422" s="38" t="s">
        <v>953</v>
      </c>
      <c r="H422" s="19">
        <v>542.01</v>
      </c>
      <c r="I422" s="19">
        <v>540.53</v>
      </c>
      <c r="J422">
        <v>5</v>
      </c>
      <c r="K422">
        <v>0.1</v>
      </c>
      <c r="L422" s="19">
        <v>1.48</v>
      </c>
      <c r="M422" t="s">
        <v>1290</v>
      </c>
    </row>
    <row r="423" spans="1:13" x14ac:dyDescent="0.3">
      <c r="A423" t="s">
        <v>432</v>
      </c>
      <c r="B423" s="2" t="s">
        <v>763</v>
      </c>
      <c r="C423" s="2" t="s">
        <v>1350</v>
      </c>
      <c r="D423" s="38" t="s">
        <v>786</v>
      </c>
      <c r="E423" t="s">
        <v>789</v>
      </c>
      <c r="F423" t="s">
        <v>798</v>
      </c>
      <c r="G423" s="38" t="s">
        <v>1215</v>
      </c>
      <c r="H423" s="19">
        <v>156.32</v>
      </c>
      <c r="I423" s="19">
        <v>145.87</v>
      </c>
      <c r="J423">
        <v>6</v>
      </c>
      <c r="K423">
        <v>0</v>
      </c>
      <c r="L423" s="19">
        <v>10.45</v>
      </c>
      <c r="M423" t="s">
        <v>1290</v>
      </c>
    </row>
    <row r="424" spans="1:13" x14ac:dyDescent="0.3">
      <c r="A424" t="s">
        <v>433</v>
      </c>
      <c r="B424" s="2" t="s">
        <v>575</v>
      </c>
      <c r="C424" s="2" t="s">
        <v>1353</v>
      </c>
      <c r="D424" s="38" t="s">
        <v>784</v>
      </c>
      <c r="E424" t="s">
        <v>787</v>
      </c>
      <c r="F424" t="s">
        <v>790</v>
      </c>
      <c r="G424" s="38" t="s">
        <v>1216</v>
      </c>
      <c r="H424" s="19">
        <v>253.75</v>
      </c>
      <c r="I424" s="19">
        <v>232.5</v>
      </c>
      <c r="J424">
        <v>2</v>
      </c>
      <c r="K424">
        <v>0.1</v>
      </c>
      <c r="L424" s="19">
        <v>21.25</v>
      </c>
      <c r="M424" t="s">
        <v>1290</v>
      </c>
    </row>
    <row r="425" spans="1:13" x14ac:dyDescent="0.3">
      <c r="A425" t="s">
        <v>434</v>
      </c>
      <c r="B425" s="2" t="s">
        <v>764</v>
      </c>
      <c r="C425" s="2" t="s">
        <v>1353</v>
      </c>
      <c r="D425" s="38" t="s">
        <v>783</v>
      </c>
      <c r="E425" t="s">
        <v>788</v>
      </c>
      <c r="F425" t="s">
        <v>791</v>
      </c>
      <c r="G425" s="38" t="s">
        <v>1217</v>
      </c>
      <c r="H425" s="19">
        <v>1388.07</v>
      </c>
      <c r="I425" s="19">
        <v>972.62999999999988</v>
      </c>
      <c r="J425">
        <v>9</v>
      </c>
      <c r="K425">
        <v>0</v>
      </c>
      <c r="L425" s="19">
        <v>415.44</v>
      </c>
      <c r="M425" t="s">
        <v>1289</v>
      </c>
    </row>
    <row r="426" spans="1:13" x14ac:dyDescent="0.3">
      <c r="A426" t="s">
        <v>435</v>
      </c>
      <c r="B426" s="2" t="s">
        <v>672</v>
      </c>
      <c r="C426" s="2" t="s">
        <v>1350</v>
      </c>
      <c r="D426" s="38" t="s">
        <v>784</v>
      </c>
      <c r="E426" t="s">
        <v>788</v>
      </c>
      <c r="F426" t="s">
        <v>791</v>
      </c>
      <c r="G426" s="38" t="s">
        <v>1218</v>
      </c>
      <c r="H426" s="19">
        <v>1027.49</v>
      </c>
      <c r="I426" s="19">
        <v>873.15</v>
      </c>
      <c r="J426">
        <v>3</v>
      </c>
      <c r="K426">
        <v>0</v>
      </c>
      <c r="L426" s="19">
        <v>154.34</v>
      </c>
      <c r="M426" t="s">
        <v>1289</v>
      </c>
    </row>
    <row r="427" spans="1:13" x14ac:dyDescent="0.3">
      <c r="A427" t="s">
        <v>436</v>
      </c>
      <c r="B427" s="2" t="s">
        <v>566</v>
      </c>
      <c r="C427" s="2" t="s">
        <v>1354</v>
      </c>
      <c r="D427" s="38" t="s">
        <v>785</v>
      </c>
      <c r="E427" t="s">
        <v>789</v>
      </c>
      <c r="F427" t="s">
        <v>797</v>
      </c>
      <c r="G427" s="38" t="s">
        <v>1219</v>
      </c>
      <c r="H427" s="19">
        <v>1866.7</v>
      </c>
      <c r="I427" s="19">
        <v>1956.33</v>
      </c>
      <c r="J427">
        <v>4</v>
      </c>
      <c r="K427">
        <v>0.1</v>
      </c>
      <c r="L427" s="19">
        <v>-89.63</v>
      </c>
      <c r="M427" t="s">
        <v>1290</v>
      </c>
    </row>
    <row r="428" spans="1:13" x14ac:dyDescent="0.3">
      <c r="A428" t="s">
        <v>437</v>
      </c>
      <c r="B428" s="2" t="s">
        <v>765</v>
      </c>
      <c r="C428" s="2" t="s">
        <v>1351</v>
      </c>
      <c r="D428" s="38" t="s">
        <v>785</v>
      </c>
      <c r="E428" t="s">
        <v>789</v>
      </c>
      <c r="F428" t="s">
        <v>794</v>
      </c>
      <c r="G428" s="38" t="s">
        <v>1220</v>
      </c>
      <c r="H428" s="19">
        <v>470.39</v>
      </c>
      <c r="I428" s="19">
        <v>372.91999999999996</v>
      </c>
      <c r="J428">
        <v>5</v>
      </c>
      <c r="K428">
        <v>0</v>
      </c>
      <c r="L428" s="19">
        <v>97.47</v>
      </c>
      <c r="M428" t="s">
        <v>1291</v>
      </c>
    </row>
    <row r="429" spans="1:13" x14ac:dyDescent="0.3">
      <c r="A429" t="s">
        <v>438</v>
      </c>
      <c r="B429" s="2" t="s">
        <v>721</v>
      </c>
      <c r="C429" s="2" t="s">
        <v>1349</v>
      </c>
      <c r="D429" s="38" t="s">
        <v>784</v>
      </c>
      <c r="E429" t="s">
        <v>788</v>
      </c>
      <c r="F429" t="s">
        <v>791</v>
      </c>
      <c r="G429" s="38" t="s">
        <v>1221</v>
      </c>
      <c r="H429" s="19">
        <v>1077.19</v>
      </c>
      <c r="I429" s="19">
        <v>1037.3800000000001</v>
      </c>
      <c r="J429">
        <v>6</v>
      </c>
      <c r="K429">
        <v>0.15</v>
      </c>
      <c r="L429" s="19">
        <v>39.81</v>
      </c>
      <c r="M429" t="s">
        <v>1290</v>
      </c>
    </row>
    <row r="430" spans="1:13" x14ac:dyDescent="0.3">
      <c r="A430" t="s">
        <v>439</v>
      </c>
      <c r="B430" s="2" t="s">
        <v>766</v>
      </c>
      <c r="C430" s="2" t="s">
        <v>1352</v>
      </c>
      <c r="D430" s="38" t="s">
        <v>784</v>
      </c>
      <c r="E430" t="s">
        <v>789</v>
      </c>
      <c r="F430" t="s">
        <v>797</v>
      </c>
      <c r="G430" s="38" t="s">
        <v>1222</v>
      </c>
      <c r="H430" s="19">
        <v>517.33000000000004</v>
      </c>
      <c r="I430" s="19">
        <v>493.08000000000004</v>
      </c>
      <c r="J430">
        <v>2</v>
      </c>
      <c r="K430">
        <v>0.15</v>
      </c>
      <c r="L430" s="19">
        <v>24.25</v>
      </c>
      <c r="M430" t="s">
        <v>1290</v>
      </c>
    </row>
    <row r="431" spans="1:13" x14ac:dyDescent="0.3">
      <c r="A431" t="s">
        <v>440</v>
      </c>
      <c r="B431" s="2" t="s">
        <v>723</v>
      </c>
      <c r="C431" s="2" t="s">
        <v>1351</v>
      </c>
      <c r="D431" s="38" t="s">
        <v>785</v>
      </c>
      <c r="E431" t="s">
        <v>787</v>
      </c>
      <c r="F431" t="s">
        <v>800</v>
      </c>
      <c r="G431" s="38" t="s">
        <v>1223</v>
      </c>
      <c r="H431" s="19">
        <v>279.12</v>
      </c>
      <c r="I431" s="19">
        <v>210.77</v>
      </c>
      <c r="J431">
        <v>1</v>
      </c>
      <c r="K431">
        <v>0</v>
      </c>
      <c r="L431" s="19">
        <v>68.349999999999994</v>
      </c>
      <c r="M431" t="s">
        <v>1290</v>
      </c>
    </row>
    <row r="432" spans="1:13" x14ac:dyDescent="0.3">
      <c r="A432" t="s">
        <v>441</v>
      </c>
      <c r="B432" s="2" t="s">
        <v>757</v>
      </c>
      <c r="C432" s="2" t="s">
        <v>1351</v>
      </c>
      <c r="D432" s="38" t="s">
        <v>784</v>
      </c>
      <c r="E432" t="s">
        <v>787</v>
      </c>
      <c r="F432" t="s">
        <v>792</v>
      </c>
      <c r="G432" s="38" t="s">
        <v>1224</v>
      </c>
      <c r="H432" s="19">
        <v>1441.11</v>
      </c>
      <c r="I432" s="19">
        <v>1312.51</v>
      </c>
      <c r="J432">
        <v>7</v>
      </c>
      <c r="K432">
        <v>0.05</v>
      </c>
      <c r="L432" s="19">
        <v>128.6</v>
      </c>
      <c r="M432" t="s">
        <v>1289</v>
      </c>
    </row>
    <row r="433" spans="1:13" x14ac:dyDescent="0.3">
      <c r="A433" t="s">
        <v>442</v>
      </c>
      <c r="B433" s="2" t="s">
        <v>767</v>
      </c>
      <c r="C433" s="2" t="s">
        <v>1351</v>
      </c>
      <c r="D433" s="38" t="s">
        <v>785</v>
      </c>
      <c r="E433" t="s">
        <v>787</v>
      </c>
      <c r="F433" t="s">
        <v>792</v>
      </c>
      <c r="G433" s="38" t="s">
        <v>1225</v>
      </c>
      <c r="H433" s="19">
        <v>1800.18</v>
      </c>
      <c r="I433" s="19">
        <v>1818.95</v>
      </c>
      <c r="J433">
        <v>3</v>
      </c>
      <c r="K433">
        <v>0.15</v>
      </c>
      <c r="L433" s="19">
        <v>-18.77</v>
      </c>
      <c r="M433" t="s">
        <v>1291</v>
      </c>
    </row>
    <row r="434" spans="1:13" x14ac:dyDescent="0.3">
      <c r="A434" t="s">
        <v>443</v>
      </c>
      <c r="B434" s="2" t="s">
        <v>645</v>
      </c>
      <c r="C434" s="2" t="s">
        <v>1352</v>
      </c>
      <c r="D434" s="38" t="s">
        <v>783</v>
      </c>
      <c r="E434" t="s">
        <v>789</v>
      </c>
      <c r="F434" t="s">
        <v>794</v>
      </c>
      <c r="G434" s="38" t="s">
        <v>1226</v>
      </c>
      <c r="H434" s="19">
        <v>1751.26</v>
      </c>
      <c r="I434" s="19">
        <v>1876.19</v>
      </c>
      <c r="J434">
        <v>7</v>
      </c>
      <c r="K434">
        <v>0.2</v>
      </c>
      <c r="L434" s="19">
        <v>-124.93</v>
      </c>
      <c r="M434" t="s">
        <v>1290</v>
      </c>
    </row>
    <row r="435" spans="1:13" x14ac:dyDescent="0.3">
      <c r="A435" t="s">
        <v>444</v>
      </c>
      <c r="B435" s="2" t="s">
        <v>578</v>
      </c>
      <c r="C435" s="2" t="s">
        <v>1350</v>
      </c>
      <c r="D435" s="38" t="s">
        <v>786</v>
      </c>
      <c r="E435" t="s">
        <v>787</v>
      </c>
      <c r="F435" t="s">
        <v>801</v>
      </c>
      <c r="G435" s="38" t="s">
        <v>1197</v>
      </c>
      <c r="H435" s="19">
        <v>1838.57</v>
      </c>
      <c r="I435" s="19">
        <v>1755.35</v>
      </c>
      <c r="J435">
        <v>8</v>
      </c>
      <c r="K435">
        <v>0.2</v>
      </c>
      <c r="L435" s="19">
        <v>83.22</v>
      </c>
      <c r="M435" t="s">
        <v>1289</v>
      </c>
    </row>
    <row r="436" spans="1:13" x14ac:dyDescent="0.3">
      <c r="A436" t="s">
        <v>445</v>
      </c>
      <c r="B436" s="2" t="s">
        <v>662</v>
      </c>
      <c r="C436" s="2" t="s">
        <v>1349</v>
      </c>
      <c r="D436" s="38" t="s">
        <v>783</v>
      </c>
      <c r="E436" t="s">
        <v>789</v>
      </c>
      <c r="F436" t="s">
        <v>797</v>
      </c>
      <c r="G436" s="38" t="s">
        <v>1227</v>
      </c>
      <c r="H436" s="19">
        <v>1348.63</v>
      </c>
      <c r="I436" s="19">
        <v>1305.5</v>
      </c>
      <c r="J436">
        <v>5</v>
      </c>
      <c r="K436">
        <v>0.15</v>
      </c>
      <c r="L436" s="19">
        <v>43.13</v>
      </c>
      <c r="M436" t="s">
        <v>1289</v>
      </c>
    </row>
    <row r="437" spans="1:13" x14ac:dyDescent="0.3">
      <c r="A437" t="s">
        <v>446</v>
      </c>
      <c r="B437" s="2" t="s">
        <v>716</v>
      </c>
      <c r="C437" s="2" t="s">
        <v>1345</v>
      </c>
      <c r="D437" s="38" t="s">
        <v>786</v>
      </c>
      <c r="E437" t="s">
        <v>787</v>
      </c>
      <c r="F437" t="s">
        <v>792</v>
      </c>
      <c r="G437" s="38" t="s">
        <v>1228</v>
      </c>
      <c r="H437" s="19">
        <v>712.81</v>
      </c>
      <c r="I437" s="19">
        <v>618.51</v>
      </c>
      <c r="J437">
        <v>9</v>
      </c>
      <c r="K437">
        <v>0</v>
      </c>
      <c r="L437" s="19">
        <v>94.3</v>
      </c>
      <c r="M437" t="s">
        <v>1290</v>
      </c>
    </row>
    <row r="438" spans="1:13" x14ac:dyDescent="0.3">
      <c r="A438" t="s">
        <v>447</v>
      </c>
      <c r="B438" s="2" t="s">
        <v>732</v>
      </c>
      <c r="C438" s="2" t="s">
        <v>1351</v>
      </c>
      <c r="D438" s="38" t="s">
        <v>783</v>
      </c>
      <c r="E438" t="s">
        <v>787</v>
      </c>
      <c r="F438" t="s">
        <v>800</v>
      </c>
      <c r="G438" s="38" t="s">
        <v>1229</v>
      </c>
      <c r="H438" s="19">
        <v>336.56</v>
      </c>
      <c r="I438" s="19">
        <v>368.18</v>
      </c>
      <c r="J438">
        <v>4</v>
      </c>
      <c r="K438">
        <v>0.15</v>
      </c>
      <c r="L438" s="19">
        <v>-31.62</v>
      </c>
      <c r="M438" t="s">
        <v>1291</v>
      </c>
    </row>
    <row r="439" spans="1:13" x14ac:dyDescent="0.3">
      <c r="A439" t="s">
        <v>448</v>
      </c>
      <c r="B439" s="2" t="s">
        <v>724</v>
      </c>
      <c r="C439" s="2" t="s">
        <v>1348</v>
      </c>
      <c r="D439" s="38" t="s">
        <v>785</v>
      </c>
      <c r="E439" t="s">
        <v>788</v>
      </c>
      <c r="F439" t="s">
        <v>791</v>
      </c>
      <c r="G439" s="38" t="s">
        <v>1230</v>
      </c>
      <c r="H439" s="19">
        <v>754.73</v>
      </c>
      <c r="I439" s="19">
        <v>831.03</v>
      </c>
      <c r="J439">
        <v>9</v>
      </c>
      <c r="K439">
        <v>0.2</v>
      </c>
      <c r="L439" s="19">
        <v>-76.3</v>
      </c>
      <c r="M439" t="s">
        <v>1289</v>
      </c>
    </row>
    <row r="440" spans="1:13" x14ac:dyDescent="0.3">
      <c r="A440" t="s">
        <v>449</v>
      </c>
      <c r="B440" s="2" t="s">
        <v>768</v>
      </c>
      <c r="C440" s="2" t="s">
        <v>1344</v>
      </c>
      <c r="D440" s="38" t="s">
        <v>785</v>
      </c>
      <c r="E440" t="s">
        <v>787</v>
      </c>
      <c r="F440" t="s">
        <v>801</v>
      </c>
      <c r="G440" s="38" t="s">
        <v>1231</v>
      </c>
      <c r="H440" s="19">
        <v>196.52</v>
      </c>
      <c r="I440" s="19">
        <v>184.15</v>
      </c>
      <c r="J440">
        <v>8</v>
      </c>
      <c r="K440">
        <v>0.05</v>
      </c>
      <c r="L440" s="19">
        <v>12.37</v>
      </c>
      <c r="M440" t="s">
        <v>1290</v>
      </c>
    </row>
    <row r="441" spans="1:13" x14ac:dyDescent="0.3">
      <c r="A441" t="s">
        <v>450</v>
      </c>
      <c r="B441" s="2" t="s">
        <v>769</v>
      </c>
      <c r="C441" s="2" t="s">
        <v>1347</v>
      </c>
      <c r="D441" s="38" t="s">
        <v>786</v>
      </c>
      <c r="E441" t="s">
        <v>789</v>
      </c>
      <c r="F441" t="s">
        <v>799</v>
      </c>
      <c r="G441" s="38" t="s">
        <v>1232</v>
      </c>
      <c r="H441" s="19">
        <v>1261</v>
      </c>
      <c r="I441" s="19">
        <v>1211.94</v>
      </c>
      <c r="J441">
        <v>8</v>
      </c>
      <c r="K441">
        <v>0.15</v>
      </c>
      <c r="L441" s="19">
        <v>49.06</v>
      </c>
      <c r="M441" t="s">
        <v>1291</v>
      </c>
    </row>
    <row r="442" spans="1:13" x14ac:dyDescent="0.3">
      <c r="A442" t="s">
        <v>451</v>
      </c>
      <c r="B442" s="2" t="s">
        <v>542</v>
      </c>
      <c r="C442" s="2" t="s">
        <v>1349</v>
      </c>
      <c r="D442" s="38" t="s">
        <v>784</v>
      </c>
      <c r="E442" t="s">
        <v>787</v>
      </c>
      <c r="F442" t="s">
        <v>790</v>
      </c>
      <c r="G442" s="38" t="s">
        <v>1233</v>
      </c>
      <c r="H442" s="19">
        <v>552.91999999999996</v>
      </c>
      <c r="I442" s="19">
        <v>503.34999999999997</v>
      </c>
      <c r="J442">
        <v>2</v>
      </c>
      <c r="K442">
        <v>0</v>
      </c>
      <c r="L442" s="19">
        <v>49.57</v>
      </c>
      <c r="M442" t="s">
        <v>1291</v>
      </c>
    </row>
    <row r="443" spans="1:13" x14ac:dyDescent="0.3">
      <c r="A443" t="s">
        <v>452</v>
      </c>
      <c r="B443" s="2" t="s">
        <v>555</v>
      </c>
      <c r="C443" s="2" t="s">
        <v>1348</v>
      </c>
      <c r="D443" s="38" t="s">
        <v>783</v>
      </c>
      <c r="E443" t="s">
        <v>788</v>
      </c>
      <c r="F443" t="s">
        <v>795</v>
      </c>
      <c r="G443" s="38" t="s">
        <v>1234</v>
      </c>
      <c r="H443" s="19">
        <v>204.63</v>
      </c>
      <c r="I443" s="19">
        <v>213.78</v>
      </c>
      <c r="J443">
        <v>3</v>
      </c>
      <c r="K443">
        <v>0.1</v>
      </c>
      <c r="L443" s="19">
        <v>-9.15</v>
      </c>
      <c r="M443" t="s">
        <v>1291</v>
      </c>
    </row>
    <row r="444" spans="1:13" x14ac:dyDescent="0.3">
      <c r="A444" t="s">
        <v>453</v>
      </c>
      <c r="B444" s="2" t="s">
        <v>612</v>
      </c>
      <c r="C444" s="2" t="s">
        <v>1350</v>
      </c>
      <c r="D444" s="38" t="s">
        <v>785</v>
      </c>
      <c r="E444" t="s">
        <v>789</v>
      </c>
      <c r="F444" t="s">
        <v>798</v>
      </c>
      <c r="G444" s="38" t="s">
        <v>1235</v>
      </c>
      <c r="H444" s="19">
        <v>1973.94</v>
      </c>
      <c r="I444" s="19">
        <v>1652.04</v>
      </c>
      <c r="J444">
        <v>9</v>
      </c>
      <c r="K444">
        <v>0.1</v>
      </c>
      <c r="L444" s="19">
        <v>321.89999999999998</v>
      </c>
      <c r="M444" t="s">
        <v>1289</v>
      </c>
    </row>
    <row r="445" spans="1:13" x14ac:dyDescent="0.3">
      <c r="A445" t="s">
        <v>454</v>
      </c>
      <c r="B445" s="2" t="s">
        <v>672</v>
      </c>
      <c r="C445" s="2" t="s">
        <v>1350</v>
      </c>
      <c r="D445" s="38" t="s">
        <v>785</v>
      </c>
      <c r="E445" t="s">
        <v>787</v>
      </c>
      <c r="F445" t="s">
        <v>800</v>
      </c>
      <c r="G445" s="38" t="s">
        <v>1236</v>
      </c>
      <c r="H445" s="19">
        <v>777.93</v>
      </c>
      <c r="I445" s="19">
        <v>548.07999999999993</v>
      </c>
      <c r="J445">
        <v>9</v>
      </c>
      <c r="K445">
        <v>0</v>
      </c>
      <c r="L445" s="19">
        <v>229.85</v>
      </c>
      <c r="M445" t="s">
        <v>1290</v>
      </c>
    </row>
    <row r="446" spans="1:13" x14ac:dyDescent="0.3">
      <c r="A446" t="s">
        <v>455</v>
      </c>
      <c r="B446" s="2" t="s">
        <v>530</v>
      </c>
      <c r="C446" s="2" t="s">
        <v>1343</v>
      </c>
      <c r="D446" s="38" t="s">
        <v>784</v>
      </c>
      <c r="E446" t="s">
        <v>789</v>
      </c>
      <c r="F446" t="s">
        <v>798</v>
      </c>
      <c r="G446" s="38" t="s">
        <v>1237</v>
      </c>
      <c r="H446" s="19">
        <v>953.89</v>
      </c>
      <c r="I446" s="19">
        <v>886.37</v>
      </c>
      <c r="J446">
        <v>4</v>
      </c>
      <c r="K446">
        <v>0.05</v>
      </c>
      <c r="L446" s="19">
        <v>67.52</v>
      </c>
      <c r="M446" t="s">
        <v>1291</v>
      </c>
    </row>
    <row r="447" spans="1:13" x14ac:dyDescent="0.3">
      <c r="A447" t="s">
        <v>456</v>
      </c>
      <c r="B447" s="2" t="s">
        <v>589</v>
      </c>
      <c r="C447" s="2" t="s">
        <v>1347</v>
      </c>
      <c r="D447" s="38" t="s">
        <v>783</v>
      </c>
      <c r="E447" t="s">
        <v>788</v>
      </c>
      <c r="F447" t="s">
        <v>793</v>
      </c>
      <c r="G447" s="38" t="s">
        <v>1238</v>
      </c>
      <c r="H447" s="19">
        <v>863.13</v>
      </c>
      <c r="I447" s="19">
        <v>727.02</v>
      </c>
      <c r="J447">
        <v>5</v>
      </c>
      <c r="K447">
        <v>0.1</v>
      </c>
      <c r="L447" s="19">
        <v>136.11000000000001</v>
      </c>
      <c r="M447" t="s">
        <v>1289</v>
      </c>
    </row>
    <row r="448" spans="1:13" x14ac:dyDescent="0.3">
      <c r="A448" t="s">
        <v>457</v>
      </c>
      <c r="B448" s="2" t="s">
        <v>770</v>
      </c>
      <c r="C448" s="2" t="s">
        <v>1352</v>
      </c>
      <c r="D448" s="38" t="s">
        <v>784</v>
      </c>
      <c r="E448" t="s">
        <v>787</v>
      </c>
      <c r="F448" t="s">
        <v>801</v>
      </c>
      <c r="G448" s="38" t="s">
        <v>1239</v>
      </c>
      <c r="H448" s="19">
        <v>1350.42</v>
      </c>
      <c r="I448" s="19">
        <v>1483.0300000000002</v>
      </c>
      <c r="J448">
        <v>10</v>
      </c>
      <c r="K448">
        <v>0.15</v>
      </c>
      <c r="L448" s="19">
        <v>-132.61000000000001</v>
      </c>
      <c r="M448" t="s">
        <v>1289</v>
      </c>
    </row>
    <row r="449" spans="1:13" x14ac:dyDescent="0.3">
      <c r="A449" t="s">
        <v>458</v>
      </c>
      <c r="B449" s="2" t="s">
        <v>573</v>
      </c>
      <c r="C449" s="2" t="s">
        <v>1353</v>
      </c>
      <c r="D449" s="38" t="s">
        <v>783</v>
      </c>
      <c r="E449" t="s">
        <v>788</v>
      </c>
      <c r="F449" t="s">
        <v>795</v>
      </c>
      <c r="G449" s="38" t="s">
        <v>1240</v>
      </c>
      <c r="H449" s="19">
        <v>914.84</v>
      </c>
      <c r="I449" s="19">
        <v>843.43000000000006</v>
      </c>
      <c r="J449">
        <v>6</v>
      </c>
      <c r="K449">
        <v>0.2</v>
      </c>
      <c r="L449" s="19">
        <v>71.41</v>
      </c>
      <c r="M449" t="s">
        <v>1291</v>
      </c>
    </row>
    <row r="450" spans="1:13" x14ac:dyDescent="0.3">
      <c r="A450" t="s">
        <v>459</v>
      </c>
      <c r="B450" s="2" t="s">
        <v>771</v>
      </c>
      <c r="C450" s="2" t="s">
        <v>1347</v>
      </c>
      <c r="D450" s="38" t="s">
        <v>784</v>
      </c>
      <c r="E450" t="s">
        <v>788</v>
      </c>
      <c r="F450" t="s">
        <v>795</v>
      </c>
      <c r="G450" s="38" t="s">
        <v>1241</v>
      </c>
      <c r="H450" s="19">
        <v>328.19</v>
      </c>
      <c r="I450" s="19">
        <v>336.2</v>
      </c>
      <c r="J450">
        <v>5</v>
      </c>
      <c r="K450">
        <v>0.2</v>
      </c>
      <c r="L450" s="19">
        <v>-8.01</v>
      </c>
      <c r="M450" t="s">
        <v>1291</v>
      </c>
    </row>
    <row r="451" spans="1:13" x14ac:dyDescent="0.3">
      <c r="A451" t="s">
        <v>460</v>
      </c>
      <c r="B451" s="2" t="s">
        <v>755</v>
      </c>
      <c r="C451" s="2" t="s">
        <v>1345</v>
      </c>
      <c r="D451" s="38" t="s">
        <v>786</v>
      </c>
      <c r="E451" t="s">
        <v>787</v>
      </c>
      <c r="G451" s="38" t="s">
        <v>1242</v>
      </c>
      <c r="H451" s="19">
        <v>1717.82</v>
      </c>
      <c r="I451" s="19">
        <v>1750.8799999999999</v>
      </c>
      <c r="J451">
        <v>2</v>
      </c>
      <c r="K451">
        <v>0.15</v>
      </c>
      <c r="L451" s="19">
        <v>-33.06</v>
      </c>
      <c r="M451" t="s">
        <v>1290</v>
      </c>
    </row>
    <row r="452" spans="1:13" x14ac:dyDescent="0.3">
      <c r="A452" t="s">
        <v>461</v>
      </c>
      <c r="B452" s="2" t="s">
        <v>772</v>
      </c>
      <c r="C452" s="2" t="s">
        <v>1347</v>
      </c>
      <c r="D452" s="38" t="s">
        <v>784</v>
      </c>
      <c r="E452" t="s">
        <v>788</v>
      </c>
      <c r="F452" t="s">
        <v>791</v>
      </c>
      <c r="G452" s="38" t="s">
        <v>1243</v>
      </c>
      <c r="H452" s="19">
        <v>1293.1099999999999</v>
      </c>
      <c r="I452" s="19">
        <v>1148.06</v>
      </c>
      <c r="J452">
        <v>5</v>
      </c>
      <c r="K452">
        <v>0.1</v>
      </c>
      <c r="L452" s="19">
        <v>145.05000000000001</v>
      </c>
      <c r="M452" t="s">
        <v>1289</v>
      </c>
    </row>
    <row r="453" spans="1:13" x14ac:dyDescent="0.3">
      <c r="A453" t="s">
        <v>462</v>
      </c>
      <c r="B453" s="2" t="s">
        <v>634</v>
      </c>
      <c r="C453" s="2" t="s">
        <v>1349</v>
      </c>
      <c r="D453" s="38" t="s">
        <v>783</v>
      </c>
      <c r="E453" t="s">
        <v>787</v>
      </c>
      <c r="F453" t="s">
        <v>800</v>
      </c>
      <c r="G453" s="38" t="s">
        <v>1244</v>
      </c>
      <c r="H453" s="19">
        <v>782.28</v>
      </c>
      <c r="I453" s="19">
        <v>654.76</v>
      </c>
      <c r="J453">
        <v>9</v>
      </c>
      <c r="K453">
        <v>0</v>
      </c>
      <c r="L453" s="19">
        <v>127.52</v>
      </c>
      <c r="M453" t="s">
        <v>1290</v>
      </c>
    </row>
    <row r="454" spans="1:13" x14ac:dyDescent="0.3">
      <c r="A454" t="s">
        <v>463</v>
      </c>
      <c r="B454" s="2" t="s">
        <v>573</v>
      </c>
      <c r="C454" s="2" t="s">
        <v>1353</v>
      </c>
      <c r="D454" s="38" t="s">
        <v>783</v>
      </c>
      <c r="E454" t="s">
        <v>788</v>
      </c>
      <c r="F454" t="s">
        <v>793</v>
      </c>
      <c r="G454" s="38" t="s">
        <v>1245</v>
      </c>
      <c r="H454" s="19">
        <v>108.96</v>
      </c>
      <c r="I454" s="19">
        <v>114.96</v>
      </c>
      <c r="J454">
        <v>7</v>
      </c>
      <c r="K454">
        <v>0.15</v>
      </c>
      <c r="L454" s="19">
        <v>-6</v>
      </c>
      <c r="M454" t="s">
        <v>1289</v>
      </c>
    </row>
    <row r="455" spans="1:13" x14ac:dyDescent="0.3">
      <c r="A455" t="s">
        <v>464</v>
      </c>
      <c r="B455" s="2" t="s">
        <v>771</v>
      </c>
      <c r="C455" s="2" t="s">
        <v>1347</v>
      </c>
      <c r="D455" s="38" t="s">
        <v>783</v>
      </c>
      <c r="E455" t="s">
        <v>788</v>
      </c>
      <c r="F455" t="s">
        <v>796</v>
      </c>
      <c r="G455" s="38" t="s">
        <v>1246</v>
      </c>
      <c r="H455" s="19">
        <v>322.64999999999998</v>
      </c>
      <c r="I455" s="19">
        <v>317.56</v>
      </c>
      <c r="J455">
        <v>9</v>
      </c>
      <c r="K455">
        <v>0.15</v>
      </c>
      <c r="L455" s="19">
        <v>5.09</v>
      </c>
      <c r="M455" t="s">
        <v>1291</v>
      </c>
    </row>
    <row r="456" spans="1:13" x14ac:dyDescent="0.3">
      <c r="A456" t="s">
        <v>465</v>
      </c>
      <c r="B456" s="2" t="s">
        <v>615</v>
      </c>
      <c r="C456" s="2" t="s">
        <v>1353</v>
      </c>
      <c r="D456" s="38" t="s">
        <v>783</v>
      </c>
      <c r="E456" t="s">
        <v>788</v>
      </c>
      <c r="F456" t="s">
        <v>795</v>
      </c>
      <c r="G456" s="38" t="s">
        <v>1247</v>
      </c>
      <c r="H456" s="19">
        <v>1755.31</v>
      </c>
      <c r="I456" s="19">
        <v>1937.3</v>
      </c>
      <c r="J456">
        <v>9</v>
      </c>
      <c r="K456">
        <v>0.2</v>
      </c>
      <c r="L456" s="19">
        <v>-181.99</v>
      </c>
      <c r="M456" t="s">
        <v>1290</v>
      </c>
    </row>
    <row r="457" spans="1:13" x14ac:dyDescent="0.3">
      <c r="A457" t="s">
        <v>466</v>
      </c>
      <c r="B457" s="2" t="s">
        <v>585</v>
      </c>
      <c r="C457" s="2" t="s">
        <v>1343</v>
      </c>
      <c r="D457" s="38" t="s">
        <v>785</v>
      </c>
      <c r="E457" t="s">
        <v>789</v>
      </c>
      <c r="F457" t="s">
        <v>799</v>
      </c>
      <c r="G457" s="38" t="s">
        <v>1048</v>
      </c>
      <c r="H457" s="19">
        <v>1494.71</v>
      </c>
      <c r="I457" s="19">
        <v>1464.76</v>
      </c>
      <c r="J457">
        <v>7</v>
      </c>
      <c r="K457">
        <v>0.2</v>
      </c>
      <c r="L457" s="19">
        <v>29.95</v>
      </c>
      <c r="M457" t="s">
        <v>1291</v>
      </c>
    </row>
    <row r="458" spans="1:13" x14ac:dyDescent="0.3">
      <c r="A458" t="s">
        <v>467</v>
      </c>
      <c r="B458" s="2" t="s">
        <v>672</v>
      </c>
      <c r="C458" s="2" t="s">
        <v>1350</v>
      </c>
      <c r="D458" s="38" t="s">
        <v>785</v>
      </c>
      <c r="E458" t="s">
        <v>787</v>
      </c>
      <c r="F458" t="s">
        <v>800</v>
      </c>
      <c r="G458" s="38" t="s">
        <v>1248</v>
      </c>
      <c r="H458" s="19">
        <v>1206.77</v>
      </c>
      <c r="I458" s="19">
        <v>1368.03</v>
      </c>
      <c r="J458">
        <v>2</v>
      </c>
      <c r="K458">
        <v>0.2</v>
      </c>
      <c r="L458" s="19">
        <v>-161.26</v>
      </c>
      <c r="M458" t="s">
        <v>1289</v>
      </c>
    </row>
    <row r="459" spans="1:13" x14ac:dyDescent="0.3">
      <c r="A459" t="s">
        <v>468</v>
      </c>
      <c r="B459" s="2" t="s">
        <v>763</v>
      </c>
      <c r="C459" s="2" t="s">
        <v>1350</v>
      </c>
      <c r="D459" s="38" t="s">
        <v>783</v>
      </c>
      <c r="E459" t="s">
        <v>787</v>
      </c>
      <c r="F459" t="s">
        <v>790</v>
      </c>
      <c r="G459" s="38" t="s">
        <v>1249</v>
      </c>
      <c r="H459" s="19">
        <v>310.82</v>
      </c>
      <c r="I459" s="19">
        <v>288.27999999999997</v>
      </c>
      <c r="J459">
        <v>3</v>
      </c>
      <c r="K459">
        <v>0.05</v>
      </c>
      <c r="L459" s="19">
        <v>22.54</v>
      </c>
      <c r="M459" t="s">
        <v>1289</v>
      </c>
    </row>
    <row r="460" spans="1:13" x14ac:dyDescent="0.3">
      <c r="A460" t="s">
        <v>469</v>
      </c>
      <c r="B460" s="2" t="s">
        <v>726</v>
      </c>
      <c r="C460" s="2" t="s">
        <v>1351</v>
      </c>
      <c r="D460" s="38" t="s">
        <v>786</v>
      </c>
      <c r="E460" t="s">
        <v>789</v>
      </c>
      <c r="F460" t="s">
        <v>799</v>
      </c>
      <c r="G460" s="38" t="s">
        <v>1250</v>
      </c>
      <c r="H460" s="19">
        <v>1808.77</v>
      </c>
      <c r="I460" s="19">
        <v>1582.09</v>
      </c>
      <c r="J460">
        <v>10</v>
      </c>
      <c r="K460">
        <v>0.05</v>
      </c>
      <c r="L460" s="19">
        <v>226.68</v>
      </c>
      <c r="M460" t="s">
        <v>1291</v>
      </c>
    </row>
    <row r="461" spans="1:13" x14ac:dyDescent="0.3">
      <c r="A461" t="s">
        <v>470</v>
      </c>
      <c r="B461" s="2" t="s">
        <v>711</v>
      </c>
      <c r="C461" s="2" t="s">
        <v>1351</v>
      </c>
      <c r="D461" s="38" t="s">
        <v>784</v>
      </c>
      <c r="E461" t="s">
        <v>787</v>
      </c>
      <c r="F461" t="s">
        <v>801</v>
      </c>
      <c r="G461" s="38" t="s">
        <v>1251</v>
      </c>
      <c r="H461" s="19">
        <v>1179.01</v>
      </c>
      <c r="I461" s="19">
        <v>890.82999999999993</v>
      </c>
      <c r="J461">
        <v>6</v>
      </c>
      <c r="K461">
        <v>0</v>
      </c>
      <c r="L461" s="19">
        <v>288.18</v>
      </c>
      <c r="M461" t="s">
        <v>1289</v>
      </c>
    </row>
    <row r="462" spans="1:13" x14ac:dyDescent="0.3">
      <c r="A462" t="s">
        <v>471</v>
      </c>
      <c r="B462" s="2" t="s">
        <v>773</v>
      </c>
      <c r="C462" s="2" t="s">
        <v>1354</v>
      </c>
      <c r="D462" s="38" t="s">
        <v>784</v>
      </c>
      <c r="E462" t="s">
        <v>787</v>
      </c>
      <c r="F462" t="s">
        <v>790</v>
      </c>
      <c r="G462" s="38" t="s">
        <v>1252</v>
      </c>
      <c r="H462" s="19">
        <v>525.74</v>
      </c>
      <c r="I462" s="19">
        <v>537.97</v>
      </c>
      <c r="J462">
        <v>6</v>
      </c>
      <c r="K462">
        <v>0.2</v>
      </c>
      <c r="L462" s="19">
        <v>-12.23</v>
      </c>
      <c r="M462" t="s">
        <v>1291</v>
      </c>
    </row>
    <row r="463" spans="1:13" x14ac:dyDescent="0.3">
      <c r="A463" t="s">
        <v>472</v>
      </c>
      <c r="B463" s="2" t="s">
        <v>671</v>
      </c>
      <c r="C463" s="2" t="s">
        <v>1345</v>
      </c>
      <c r="D463" s="38" t="s">
        <v>786</v>
      </c>
      <c r="E463" t="s">
        <v>789</v>
      </c>
      <c r="F463" t="s">
        <v>797</v>
      </c>
      <c r="G463" s="38" t="s">
        <v>1253</v>
      </c>
      <c r="H463" s="19">
        <v>1878.55</v>
      </c>
      <c r="I463" s="19">
        <v>1368.9</v>
      </c>
      <c r="J463">
        <v>9</v>
      </c>
      <c r="K463">
        <v>0</v>
      </c>
      <c r="L463" s="19">
        <v>509.65</v>
      </c>
      <c r="M463" t="s">
        <v>1291</v>
      </c>
    </row>
    <row r="464" spans="1:13" x14ac:dyDescent="0.3">
      <c r="A464" t="s">
        <v>473</v>
      </c>
      <c r="B464" s="2" t="s">
        <v>675</v>
      </c>
      <c r="C464" s="2" t="s">
        <v>1352</v>
      </c>
      <c r="D464" s="38" t="s">
        <v>784</v>
      </c>
      <c r="E464" t="s">
        <v>788</v>
      </c>
      <c r="F464" t="s">
        <v>796</v>
      </c>
      <c r="G464" s="38" t="s">
        <v>1254</v>
      </c>
      <c r="H464" s="19">
        <v>1328.16</v>
      </c>
      <c r="I464" s="19">
        <v>992.44</v>
      </c>
      <c r="J464">
        <v>5</v>
      </c>
      <c r="K464">
        <v>0</v>
      </c>
      <c r="L464" s="19">
        <v>335.72</v>
      </c>
      <c r="M464" t="s">
        <v>1290</v>
      </c>
    </row>
    <row r="465" spans="1:13" x14ac:dyDescent="0.3">
      <c r="A465" t="s">
        <v>474</v>
      </c>
      <c r="B465" s="2" t="s">
        <v>774</v>
      </c>
      <c r="C465" s="2" t="s">
        <v>1348</v>
      </c>
      <c r="D465" s="38" t="s">
        <v>783</v>
      </c>
      <c r="E465" t="s">
        <v>787</v>
      </c>
      <c r="F465" t="s">
        <v>801</v>
      </c>
      <c r="G465" s="38" t="s">
        <v>1255</v>
      </c>
      <c r="H465" s="19">
        <v>429.89</v>
      </c>
      <c r="I465" s="19">
        <v>442.87</v>
      </c>
      <c r="J465">
        <v>3</v>
      </c>
      <c r="K465">
        <v>0.2</v>
      </c>
      <c r="L465" s="19">
        <v>-12.98</v>
      </c>
      <c r="M465" t="s">
        <v>1291</v>
      </c>
    </row>
    <row r="466" spans="1:13" x14ac:dyDescent="0.3">
      <c r="A466" t="s">
        <v>475</v>
      </c>
      <c r="B466" s="2" t="s">
        <v>750</v>
      </c>
      <c r="C466" s="2" t="s">
        <v>1353</v>
      </c>
      <c r="D466" s="38" t="s">
        <v>785</v>
      </c>
      <c r="E466" t="s">
        <v>787</v>
      </c>
      <c r="F466" t="s">
        <v>801</v>
      </c>
      <c r="G466" s="38" t="s">
        <v>1256</v>
      </c>
      <c r="H466" s="19">
        <v>1819.2</v>
      </c>
      <c r="I466" s="19">
        <v>2004.72</v>
      </c>
      <c r="J466">
        <v>10</v>
      </c>
      <c r="K466">
        <v>0.2</v>
      </c>
      <c r="L466" s="19">
        <v>-185.52</v>
      </c>
      <c r="M466" t="s">
        <v>1291</v>
      </c>
    </row>
    <row r="467" spans="1:13" x14ac:dyDescent="0.3">
      <c r="A467" t="s">
        <v>476</v>
      </c>
      <c r="B467" s="2" t="s">
        <v>604</v>
      </c>
      <c r="C467" s="2" t="s">
        <v>1349</v>
      </c>
      <c r="D467" s="38" t="s">
        <v>786</v>
      </c>
      <c r="E467" t="s">
        <v>789</v>
      </c>
      <c r="F467" t="s">
        <v>799</v>
      </c>
      <c r="G467" s="38" t="s">
        <v>1257</v>
      </c>
      <c r="H467" s="19">
        <v>181.53</v>
      </c>
      <c r="I467" s="19">
        <v>166.64</v>
      </c>
      <c r="J467">
        <v>6</v>
      </c>
      <c r="K467">
        <v>0.15</v>
      </c>
      <c r="L467" s="19">
        <v>14.89</v>
      </c>
      <c r="M467" t="s">
        <v>1289</v>
      </c>
    </row>
    <row r="468" spans="1:13" x14ac:dyDescent="0.3">
      <c r="A468" t="s">
        <v>477</v>
      </c>
      <c r="B468" s="2" t="s">
        <v>657</v>
      </c>
      <c r="C468" s="2" t="s">
        <v>1354</v>
      </c>
      <c r="D468" s="38" t="s">
        <v>784</v>
      </c>
      <c r="E468" t="s">
        <v>789</v>
      </c>
      <c r="F468" t="s">
        <v>794</v>
      </c>
      <c r="G468" s="38" t="s">
        <v>1258</v>
      </c>
      <c r="H468" s="19">
        <v>386.19</v>
      </c>
      <c r="I468" s="19">
        <v>352.11</v>
      </c>
      <c r="J468">
        <v>4</v>
      </c>
      <c r="K468">
        <v>0.2</v>
      </c>
      <c r="L468" s="19">
        <v>34.08</v>
      </c>
      <c r="M468" t="s">
        <v>1290</v>
      </c>
    </row>
    <row r="469" spans="1:13" x14ac:dyDescent="0.3">
      <c r="A469" t="s">
        <v>478</v>
      </c>
      <c r="B469" s="2" t="s">
        <v>556</v>
      </c>
      <c r="C469" s="2" t="s">
        <v>1353</v>
      </c>
      <c r="D469" s="38" t="s">
        <v>784</v>
      </c>
      <c r="E469" t="s">
        <v>787</v>
      </c>
      <c r="F469" t="s">
        <v>801</v>
      </c>
      <c r="G469" s="38" t="s">
        <v>1259</v>
      </c>
      <c r="H469" s="19">
        <v>852.67</v>
      </c>
      <c r="I469" s="19">
        <v>973.75</v>
      </c>
      <c r="J469">
        <v>10</v>
      </c>
      <c r="K469">
        <v>0.2</v>
      </c>
      <c r="L469" s="19">
        <v>-121.08</v>
      </c>
      <c r="M469" t="s">
        <v>1290</v>
      </c>
    </row>
    <row r="470" spans="1:13" x14ac:dyDescent="0.3">
      <c r="A470" t="s">
        <v>479</v>
      </c>
      <c r="B470" s="2" t="s">
        <v>551</v>
      </c>
      <c r="C470" s="2" t="s">
        <v>1344</v>
      </c>
      <c r="D470" s="38" t="s">
        <v>785</v>
      </c>
      <c r="E470" t="s">
        <v>787</v>
      </c>
      <c r="F470" t="s">
        <v>792</v>
      </c>
      <c r="G470" s="38" t="s">
        <v>1260</v>
      </c>
      <c r="H470" s="19">
        <v>841.73</v>
      </c>
      <c r="I470" s="19">
        <v>782.91</v>
      </c>
      <c r="J470">
        <v>9</v>
      </c>
      <c r="K470">
        <v>0.1</v>
      </c>
      <c r="L470" s="19">
        <v>58.82</v>
      </c>
      <c r="M470" t="s">
        <v>1289</v>
      </c>
    </row>
    <row r="471" spans="1:13" x14ac:dyDescent="0.3">
      <c r="A471" t="s">
        <v>480</v>
      </c>
      <c r="B471" s="2" t="s">
        <v>647</v>
      </c>
      <c r="C471" s="2" t="s">
        <v>1348</v>
      </c>
      <c r="D471" s="38" t="s">
        <v>786</v>
      </c>
      <c r="E471" t="s">
        <v>787</v>
      </c>
      <c r="F471" t="s">
        <v>792</v>
      </c>
      <c r="G471" s="38" t="s">
        <v>1261</v>
      </c>
      <c r="H471" s="19">
        <v>1172.8800000000001</v>
      </c>
      <c r="I471" s="19">
        <v>1279.1200000000001</v>
      </c>
      <c r="J471">
        <v>3</v>
      </c>
      <c r="K471">
        <v>0.2</v>
      </c>
      <c r="L471" s="19">
        <v>-106.24</v>
      </c>
      <c r="M471" t="s">
        <v>1291</v>
      </c>
    </row>
    <row r="472" spans="1:13" x14ac:dyDescent="0.3">
      <c r="A472" t="s">
        <v>481</v>
      </c>
      <c r="B472" s="2" t="s">
        <v>552</v>
      </c>
      <c r="C472" s="2" t="s">
        <v>1349</v>
      </c>
      <c r="D472" s="38" t="s">
        <v>785</v>
      </c>
      <c r="E472" t="s">
        <v>787</v>
      </c>
      <c r="F472" t="s">
        <v>792</v>
      </c>
      <c r="G472" s="38" t="s">
        <v>1262</v>
      </c>
      <c r="H472" s="19">
        <v>1199.68</v>
      </c>
      <c r="I472" s="19">
        <v>1197.8300000000002</v>
      </c>
      <c r="J472">
        <v>3</v>
      </c>
      <c r="K472">
        <v>0.05</v>
      </c>
      <c r="L472" s="19">
        <v>1.85</v>
      </c>
      <c r="M472" t="s">
        <v>1289</v>
      </c>
    </row>
    <row r="473" spans="1:13" x14ac:dyDescent="0.3">
      <c r="A473" t="s">
        <v>482</v>
      </c>
      <c r="B473" s="2" t="s">
        <v>544</v>
      </c>
      <c r="C473" s="2" t="s">
        <v>1352</v>
      </c>
      <c r="D473" s="38" t="s">
        <v>784</v>
      </c>
      <c r="E473" t="s">
        <v>787</v>
      </c>
      <c r="F473" t="s">
        <v>792</v>
      </c>
      <c r="G473" s="38" t="s">
        <v>1263</v>
      </c>
      <c r="H473" s="19">
        <v>1383.93</v>
      </c>
      <c r="I473" s="19">
        <v>1186.28</v>
      </c>
      <c r="J473">
        <v>1</v>
      </c>
      <c r="K473">
        <v>0.1</v>
      </c>
      <c r="L473" s="19">
        <v>197.65</v>
      </c>
      <c r="M473" t="s">
        <v>1291</v>
      </c>
    </row>
    <row r="474" spans="1:13" x14ac:dyDescent="0.3">
      <c r="A474" t="s">
        <v>483</v>
      </c>
      <c r="B474" s="2" t="s">
        <v>775</v>
      </c>
      <c r="C474" s="2" t="s">
        <v>1344</v>
      </c>
      <c r="D474" s="38" t="s">
        <v>786</v>
      </c>
      <c r="E474" t="s">
        <v>788</v>
      </c>
      <c r="F474" t="s">
        <v>791</v>
      </c>
      <c r="G474" s="38" t="s">
        <v>1264</v>
      </c>
      <c r="H474" s="19">
        <v>584.36</v>
      </c>
      <c r="I474" s="19">
        <v>566.48</v>
      </c>
      <c r="J474">
        <v>8</v>
      </c>
      <c r="K474">
        <v>0.1</v>
      </c>
      <c r="L474" s="19">
        <v>17.88</v>
      </c>
      <c r="M474" t="s">
        <v>1291</v>
      </c>
    </row>
    <row r="475" spans="1:13" x14ac:dyDescent="0.3">
      <c r="A475" t="s">
        <v>484</v>
      </c>
      <c r="B475" s="2" t="s">
        <v>592</v>
      </c>
      <c r="C475" s="2" t="s">
        <v>1348</v>
      </c>
      <c r="D475" s="38" t="s">
        <v>783</v>
      </c>
      <c r="E475" t="s">
        <v>789</v>
      </c>
      <c r="F475" t="s">
        <v>797</v>
      </c>
      <c r="G475" s="38" t="s">
        <v>1265</v>
      </c>
      <c r="H475" s="19">
        <v>1238.06</v>
      </c>
      <c r="I475" s="19">
        <v>1244.29</v>
      </c>
      <c r="J475">
        <v>1</v>
      </c>
      <c r="K475">
        <v>0.15</v>
      </c>
      <c r="L475" s="19">
        <v>-6.23</v>
      </c>
      <c r="M475" t="s">
        <v>1289</v>
      </c>
    </row>
    <row r="476" spans="1:13" x14ac:dyDescent="0.3">
      <c r="A476" t="s">
        <v>485</v>
      </c>
      <c r="B476" s="2" t="s">
        <v>569</v>
      </c>
      <c r="C476" s="2" t="s">
        <v>1349</v>
      </c>
      <c r="D476" s="38" t="s">
        <v>786</v>
      </c>
      <c r="E476" t="s">
        <v>789</v>
      </c>
      <c r="F476" t="s">
        <v>798</v>
      </c>
      <c r="G476" s="38" t="s">
        <v>1266</v>
      </c>
      <c r="H476" s="19">
        <v>1922.9</v>
      </c>
      <c r="I476" s="19">
        <v>1979.17</v>
      </c>
      <c r="J476">
        <v>2</v>
      </c>
      <c r="K476">
        <v>0.2</v>
      </c>
      <c r="L476" s="19">
        <v>-56.27</v>
      </c>
      <c r="M476" t="s">
        <v>1289</v>
      </c>
    </row>
    <row r="477" spans="1:13" x14ac:dyDescent="0.3">
      <c r="A477" t="s">
        <v>486</v>
      </c>
      <c r="B477" s="2" t="s">
        <v>764</v>
      </c>
      <c r="C477" s="2" t="s">
        <v>1353</v>
      </c>
      <c r="D477" s="38" t="s">
        <v>786</v>
      </c>
      <c r="E477" t="s">
        <v>787</v>
      </c>
      <c r="F477" t="s">
        <v>790</v>
      </c>
      <c r="G477" s="38" t="s">
        <v>1267</v>
      </c>
      <c r="H477" s="19">
        <v>475.44</v>
      </c>
      <c r="I477" s="19">
        <v>341.47</v>
      </c>
      <c r="J477">
        <v>4</v>
      </c>
      <c r="K477">
        <v>0</v>
      </c>
      <c r="L477" s="19">
        <v>133.97</v>
      </c>
      <c r="M477" t="s">
        <v>1289</v>
      </c>
    </row>
    <row r="478" spans="1:13" x14ac:dyDescent="0.3">
      <c r="A478" t="s">
        <v>487</v>
      </c>
      <c r="B478" s="2" t="s">
        <v>622</v>
      </c>
      <c r="C478" s="2" t="s">
        <v>1350</v>
      </c>
      <c r="D478" s="38" t="s">
        <v>785</v>
      </c>
      <c r="E478" t="s">
        <v>787</v>
      </c>
      <c r="F478" t="s">
        <v>792</v>
      </c>
      <c r="G478" s="38" t="s">
        <v>1116</v>
      </c>
      <c r="H478" s="19">
        <v>1245.3499999999999</v>
      </c>
      <c r="I478" s="19">
        <v>1090.8499999999999</v>
      </c>
      <c r="J478">
        <v>7</v>
      </c>
      <c r="K478">
        <v>0.05</v>
      </c>
      <c r="L478" s="19">
        <v>154.5</v>
      </c>
      <c r="M478" t="s">
        <v>1289</v>
      </c>
    </row>
    <row r="479" spans="1:13" x14ac:dyDescent="0.3">
      <c r="A479" t="s">
        <v>488</v>
      </c>
      <c r="B479" s="2" t="s">
        <v>584</v>
      </c>
      <c r="C479" s="2" t="s">
        <v>1346</v>
      </c>
      <c r="D479" s="38" t="s">
        <v>785</v>
      </c>
      <c r="E479" t="s">
        <v>787</v>
      </c>
      <c r="F479" t="s">
        <v>800</v>
      </c>
      <c r="G479" s="38" t="s">
        <v>1268</v>
      </c>
      <c r="H479" s="19">
        <v>402.96</v>
      </c>
      <c r="I479" s="19">
        <v>381.96</v>
      </c>
      <c r="J479">
        <v>10</v>
      </c>
      <c r="K479">
        <v>0.1</v>
      </c>
      <c r="L479" s="19">
        <v>21</v>
      </c>
      <c r="M479" t="s">
        <v>1290</v>
      </c>
    </row>
    <row r="480" spans="1:13" x14ac:dyDescent="0.3">
      <c r="A480" t="s">
        <v>489</v>
      </c>
      <c r="B480" s="2" t="s">
        <v>695</v>
      </c>
      <c r="C480" s="2" t="s">
        <v>1351</v>
      </c>
      <c r="D480" s="38" t="s">
        <v>785</v>
      </c>
      <c r="E480" t="s">
        <v>788</v>
      </c>
      <c r="F480" t="s">
        <v>793</v>
      </c>
      <c r="G480" s="38" t="s">
        <v>1269</v>
      </c>
      <c r="H480" s="19">
        <v>1006.15</v>
      </c>
      <c r="I480" s="19">
        <v>1149.19</v>
      </c>
      <c r="J480">
        <v>7</v>
      </c>
      <c r="K480">
        <v>0.2</v>
      </c>
      <c r="L480" s="19">
        <v>-143.04</v>
      </c>
      <c r="M480" t="s">
        <v>1291</v>
      </c>
    </row>
    <row r="481" spans="1:13" x14ac:dyDescent="0.3">
      <c r="A481" t="s">
        <v>490</v>
      </c>
      <c r="B481" s="2" t="s">
        <v>776</v>
      </c>
      <c r="C481" s="2" t="s">
        <v>1354</v>
      </c>
      <c r="D481" s="38" t="s">
        <v>784</v>
      </c>
      <c r="E481" t="s">
        <v>787</v>
      </c>
      <c r="F481" t="s">
        <v>801</v>
      </c>
      <c r="G481" s="38" t="s">
        <v>1270</v>
      </c>
      <c r="H481" s="19">
        <v>1217.97</v>
      </c>
      <c r="I481" s="19">
        <v>1338.02</v>
      </c>
      <c r="J481">
        <v>3</v>
      </c>
      <c r="K481">
        <v>0.2</v>
      </c>
      <c r="L481" s="19">
        <v>-120.05</v>
      </c>
      <c r="M481" t="s">
        <v>1289</v>
      </c>
    </row>
    <row r="482" spans="1:13" x14ac:dyDescent="0.3">
      <c r="A482" t="s">
        <v>491</v>
      </c>
      <c r="B482" s="2" t="s">
        <v>777</v>
      </c>
      <c r="C482" s="2" t="s">
        <v>1350</v>
      </c>
      <c r="D482" s="38" t="s">
        <v>786</v>
      </c>
      <c r="E482" t="s">
        <v>789</v>
      </c>
      <c r="F482" t="s">
        <v>797</v>
      </c>
      <c r="G482" s="38" t="s">
        <v>1271</v>
      </c>
      <c r="H482" s="19">
        <v>495.96</v>
      </c>
      <c r="I482" s="19">
        <v>461.54999999999995</v>
      </c>
      <c r="J482">
        <v>8</v>
      </c>
      <c r="K482">
        <v>0.2</v>
      </c>
      <c r="L482" s="19">
        <v>34.409999999999997</v>
      </c>
      <c r="M482" t="s">
        <v>1290</v>
      </c>
    </row>
    <row r="483" spans="1:13" x14ac:dyDescent="0.3">
      <c r="A483" t="s">
        <v>492</v>
      </c>
      <c r="B483" s="2" t="s">
        <v>778</v>
      </c>
      <c r="C483" s="2" t="s">
        <v>1350</v>
      </c>
      <c r="D483" s="38" t="s">
        <v>785</v>
      </c>
      <c r="E483" t="s">
        <v>788</v>
      </c>
      <c r="F483" t="s">
        <v>791</v>
      </c>
      <c r="G483" s="38" t="s">
        <v>1272</v>
      </c>
      <c r="H483" s="19">
        <v>66.8</v>
      </c>
      <c r="I483" s="19">
        <v>60.44</v>
      </c>
      <c r="J483">
        <v>6</v>
      </c>
      <c r="K483">
        <v>0.15</v>
      </c>
      <c r="L483" s="19">
        <v>6.36</v>
      </c>
      <c r="M483" t="s">
        <v>1291</v>
      </c>
    </row>
    <row r="484" spans="1:13" x14ac:dyDescent="0.3">
      <c r="A484" t="s">
        <v>493</v>
      </c>
      <c r="B484" s="2" t="s">
        <v>717</v>
      </c>
      <c r="C484" s="2" t="s">
        <v>1348</v>
      </c>
      <c r="D484" s="38" t="s">
        <v>783</v>
      </c>
      <c r="E484" t="s">
        <v>788</v>
      </c>
      <c r="F484" t="s">
        <v>795</v>
      </c>
      <c r="G484" s="38" t="s">
        <v>1014</v>
      </c>
      <c r="H484" s="19">
        <v>1196.71</v>
      </c>
      <c r="I484" s="19">
        <v>993.30000000000007</v>
      </c>
      <c r="J484">
        <v>7</v>
      </c>
      <c r="K484">
        <v>0.05</v>
      </c>
      <c r="L484" s="19">
        <v>203.41</v>
      </c>
      <c r="M484" t="s">
        <v>1291</v>
      </c>
    </row>
    <row r="485" spans="1:13" x14ac:dyDescent="0.3">
      <c r="A485" t="s">
        <v>494</v>
      </c>
      <c r="B485" s="2" t="s">
        <v>600</v>
      </c>
      <c r="C485" s="2" t="s">
        <v>1354</v>
      </c>
      <c r="D485" s="38" t="s">
        <v>783</v>
      </c>
      <c r="E485" t="s">
        <v>788</v>
      </c>
      <c r="F485" t="s">
        <v>796</v>
      </c>
      <c r="G485" s="38" t="s">
        <v>1273</v>
      </c>
      <c r="H485" s="19">
        <v>1036.6099999999999</v>
      </c>
      <c r="I485" s="19">
        <v>977.61999999999989</v>
      </c>
      <c r="J485">
        <v>1</v>
      </c>
      <c r="K485">
        <v>0.2</v>
      </c>
      <c r="L485" s="19">
        <v>58.99</v>
      </c>
      <c r="M485" t="s">
        <v>1289</v>
      </c>
    </row>
    <row r="486" spans="1:13" x14ac:dyDescent="0.3">
      <c r="A486" t="s">
        <v>495</v>
      </c>
      <c r="B486" s="2" t="s">
        <v>661</v>
      </c>
      <c r="C486" s="2" t="s">
        <v>1352</v>
      </c>
      <c r="D486" s="38" t="s">
        <v>783</v>
      </c>
      <c r="E486" t="s">
        <v>789</v>
      </c>
      <c r="F486" t="s">
        <v>798</v>
      </c>
      <c r="G486" s="38" t="s">
        <v>1274</v>
      </c>
      <c r="H486" s="19">
        <v>1086.3399999999999</v>
      </c>
      <c r="I486" s="19">
        <v>936.05</v>
      </c>
      <c r="J486">
        <v>5</v>
      </c>
      <c r="K486">
        <v>0.1</v>
      </c>
      <c r="L486" s="19">
        <v>150.29</v>
      </c>
      <c r="M486" t="s">
        <v>1289</v>
      </c>
    </row>
    <row r="487" spans="1:13" x14ac:dyDescent="0.3">
      <c r="A487" t="s">
        <v>496</v>
      </c>
      <c r="B487" s="2" t="s">
        <v>779</v>
      </c>
      <c r="C487" s="2" t="s">
        <v>1343</v>
      </c>
      <c r="D487" s="38" t="s">
        <v>784</v>
      </c>
      <c r="E487" t="s">
        <v>787</v>
      </c>
      <c r="F487" t="s">
        <v>800</v>
      </c>
      <c r="G487" s="38" t="s">
        <v>1275</v>
      </c>
      <c r="H487" s="19">
        <v>640.57000000000005</v>
      </c>
      <c r="I487" s="19">
        <v>599.3900000000001</v>
      </c>
      <c r="J487">
        <v>4</v>
      </c>
      <c r="K487">
        <v>0.15</v>
      </c>
      <c r="L487" s="19">
        <v>41.18</v>
      </c>
      <c r="M487" t="s">
        <v>1289</v>
      </c>
    </row>
    <row r="488" spans="1:13" x14ac:dyDescent="0.3">
      <c r="A488" t="s">
        <v>497</v>
      </c>
      <c r="B488" s="2" t="s">
        <v>762</v>
      </c>
      <c r="C488" s="2" t="s">
        <v>1345</v>
      </c>
      <c r="D488" s="38" t="s">
        <v>784</v>
      </c>
      <c r="E488" t="s">
        <v>789</v>
      </c>
      <c r="F488" t="s">
        <v>798</v>
      </c>
      <c r="G488" s="38" t="s">
        <v>1276</v>
      </c>
      <c r="H488" s="19">
        <v>1996</v>
      </c>
      <c r="I488" s="19">
        <v>1953.89</v>
      </c>
      <c r="J488">
        <v>10</v>
      </c>
      <c r="K488">
        <v>0.1</v>
      </c>
      <c r="L488" s="19">
        <v>42.11</v>
      </c>
      <c r="M488" t="s">
        <v>1289</v>
      </c>
    </row>
    <row r="489" spans="1:13" x14ac:dyDescent="0.3">
      <c r="A489" t="s">
        <v>498</v>
      </c>
      <c r="B489" s="2" t="s">
        <v>519</v>
      </c>
      <c r="C489" s="2" t="s">
        <v>1351</v>
      </c>
      <c r="D489" s="38" t="s">
        <v>784</v>
      </c>
      <c r="E489" t="s">
        <v>788</v>
      </c>
      <c r="F489" t="s">
        <v>795</v>
      </c>
      <c r="G489" s="38" t="s">
        <v>1277</v>
      </c>
      <c r="H489" s="19">
        <v>529.95000000000005</v>
      </c>
      <c r="I489" s="19">
        <v>481.33000000000004</v>
      </c>
      <c r="J489">
        <v>7</v>
      </c>
      <c r="K489">
        <v>0.15</v>
      </c>
      <c r="L489" s="19">
        <v>48.62</v>
      </c>
      <c r="M489" t="s">
        <v>1290</v>
      </c>
    </row>
    <row r="490" spans="1:13" x14ac:dyDescent="0.3">
      <c r="A490" t="s">
        <v>499</v>
      </c>
      <c r="B490" s="2" t="s">
        <v>683</v>
      </c>
      <c r="C490" s="2" t="s">
        <v>1343</v>
      </c>
      <c r="D490" s="38" t="s">
        <v>783</v>
      </c>
      <c r="E490" t="s">
        <v>789</v>
      </c>
      <c r="F490" t="s">
        <v>797</v>
      </c>
      <c r="G490" s="38" t="s">
        <v>1271</v>
      </c>
      <c r="H490" s="19">
        <v>536.98</v>
      </c>
      <c r="I490" s="19">
        <v>529.67000000000007</v>
      </c>
      <c r="J490">
        <v>6</v>
      </c>
      <c r="K490">
        <v>0.15</v>
      </c>
      <c r="L490" s="19">
        <v>7.31</v>
      </c>
      <c r="M490" t="s">
        <v>1289</v>
      </c>
    </row>
    <row r="491" spans="1:13" x14ac:dyDescent="0.3">
      <c r="A491" t="s">
        <v>500</v>
      </c>
      <c r="B491" s="2" t="s">
        <v>606</v>
      </c>
      <c r="C491" s="2" t="s">
        <v>1353</v>
      </c>
      <c r="D491" s="38" t="s">
        <v>786</v>
      </c>
      <c r="E491" t="s">
        <v>787</v>
      </c>
      <c r="F491" t="s">
        <v>792</v>
      </c>
      <c r="G491" s="38" t="s">
        <v>1278</v>
      </c>
      <c r="H491" s="19">
        <v>1225.07</v>
      </c>
      <c r="I491" s="19">
        <v>1156.3799999999999</v>
      </c>
      <c r="J491">
        <v>4</v>
      </c>
      <c r="K491">
        <v>0</v>
      </c>
      <c r="L491" s="19">
        <v>68.69</v>
      </c>
      <c r="M491" t="s">
        <v>1291</v>
      </c>
    </row>
    <row r="492" spans="1:13" x14ac:dyDescent="0.3">
      <c r="A492" t="s">
        <v>501</v>
      </c>
      <c r="B492" s="2" t="s">
        <v>512</v>
      </c>
      <c r="C492" s="2" t="s">
        <v>1343</v>
      </c>
      <c r="D492" s="38" t="s">
        <v>785</v>
      </c>
      <c r="E492" t="s">
        <v>787</v>
      </c>
      <c r="F492" t="s">
        <v>790</v>
      </c>
      <c r="G492" s="38" t="s">
        <v>1279</v>
      </c>
      <c r="H492" s="19">
        <v>1531.2</v>
      </c>
      <c r="I492" s="19">
        <v>1254.98</v>
      </c>
      <c r="J492">
        <v>5</v>
      </c>
      <c r="K492">
        <v>0</v>
      </c>
      <c r="L492" s="19">
        <v>276.22000000000003</v>
      </c>
      <c r="M492" t="s">
        <v>1289</v>
      </c>
    </row>
    <row r="493" spans="1:13" x14ac:dyDescent="0.3">
      <c r="A493" t="s">
        <v>502</v>
      </c>
      <c r="B493" s="2" t="s">
        <v>780</v>
      </c>
      <c r="C493" s="2" t="s">
        <v>1343</v>
      </c>
      <c r="D493" s="38" t="s">
        <v>786</v>
      </c>
      <c r="E493" t="s">
        <v>788</v>
      </c>
      <c r="F493" t="s">
        <v>793</v>
      </c>
      <c r="G493" s="38" t="s">
        <v>1280</v>
      </c>
      <c r="H493" s="19">
        <v>499.1</v>
      </c>
      <c r="I493" s="19">
        <v>444.55</v>
      </c>
      <c r="J493">
        <v>1</v>
      </c>
      <c r="K493">
        <v>0</v>
      </c>
      <c r="L493" s="19">
        <v>54.55</v>
      </c>
      <c r="M493" t="s">
        <v>1289</v>
      </c>
    </row>
    <row r="494" spans="1:13" x14ac:dyDescent="0.3">
      <c r="A494" t="s">
        <v>503</v>
      </c>
      <c r="B494" s="2" t="s">
        <v>520</v>
      </c>
      <c r="C494" s="2" t="s">
        <v>1344</v>
      </c>
      <c r="D494" s="38" t="s">
        <v>784</v>
      </c>
      <c r="E494" t="s">
        <v>788</v>
      </c>
      <c r="F494" t="s">
        <v>793</v>
      </c>
      <c r="G494" s="38" t="s">
        <v>1281</v>
      </c>
      <c r="H494" s="19">
        <v>361.92</v>
      </c>
      <c r="I494" s="19">
        <v>276.27</v>
      </c>
      <c r="J494">
        <v>3</v>
      </c>
      <c r="K494">
        <v>0</v>
      </c>
      <c r="L494" s="19">
        <v>85.65</v>
      </c>
      <c r="M494" t="s">
        <v>1291</v>
      </c>
    </row>
    <row r="495" spans="1:13" x14ac:dyDescent="0.3">
      <c r="A495" t="s">
        <v>504</v>
      </c>
      <c r="B495" s="2" t="s">
        <v>519</v>
      </c>
      <c r="C495" s="2" t="s">
        <v>1351</v>
      </c>
      <c r="D495" s="38" t="s">
        <v>784</v>
      </c>
      <c r="E495" t="s">
        <v>789</v>
      </c>
      <c r="F495" t="s">
        <v>798</v>
      </c>
      <c r="G495" s="38" t="s">
        <v>1282</v>
      </c>
      <c r="H495" s="19">
        <v>398.19</v>
      </c>
      <c r="I495" s="19">
        <v>305.36</v>
      </c>
      <c r="J495">
        <v>1</v>
      </c>
      <c r="K495">
        <v>0.05</v>
      </c>
      <c r="L495" s="19">
        <v>92.83</v>
      </c>
      <c r="M495" t="s">
        <v>1290</v>
      </c>
    </row>
    <row r="496" spans="1:13" x14ac:dyDescent="0.3">
      <c r="A496" t="s">
        <v>505</v>
      </c>
      <c r="B496" s="2" t="s">
        <v>545</v>
      </c>
      <c r="C496" s="2" t="s">
        <v>1350</v>
      </c>
      <c r="D496" s="38" t="s">
        <v>785</v>
      </c>
      <c r="E496" t="s">
        <v>789</v>
      </c>
      <c r="F496" t="s">
        <v>794</v>
      </c>
      <c r="G496" s="38" t="s">
        <v>1283</v>
      </c>
      <c r="H496" s="19">
        <v>1223.58</v>
      </c>
      <c r="I496" s="19">
        <v>1136.6499999999999</v>
      </c>
      <c r="J496">
        <v>1</v>
      </c>
      <c r="K496">
        <v>0.05</v>
      </c>
      <c r="L496" s="19">
        <v>86.93</v>
      </c>
      <c r="M496" t="s">
        <v>1291</v>
      </c>
    </row>
    <row r="497" spans="1:13" x14ac:dyDescent="0.3">
      <c r="A497" t="s">
        <v>506</v>
      </c>
      <c r="B497" s="2" t="s">
        <v>602</v>
      </c>
      <c r="C497" s="2" t="s">
        <v>1346</v>
      </c>
      <c r="D497" s="38" t="s">
        <v>785</v>
      </c>
      <c r="E497" t="s">
        <v>788</v>
      </c>
      <c r="F497" t="s">
        <v>791</v>
      </c>
      <c r="G497" s="38" t="s">
        <v>1284</v>
      </c>
      <c r="H497" s="19">
        <v>900.25</v>
      </c>
      <c r="I497" s="19">
        <v>907.68</v>
      </c>
      <c r="J497">
        <v>2</v>
      </c>
      <c r="K497">
        <v>0.1</v>
      </c>
      <c r="L497" s="19">
        <v>-7.43</v>
      </c>
      <c r="M497" t="s">
        <v>1291</v>
      </c>
    </row>
    <row r="498" spans="1:13" x14ac:dyDescent="0.3">
      <c r="A498" t="s">
        <v>507</v>
      </c>
      <c r="B498" s="2" t="s">
        <v>781</v>
      </c>
      <c r="C498" s="2" t="s">
        <v>1352</v>
      </c>
      <c r="D498" s="38" t="s">
        <v>783</v>
      </c>
      <c r="E498" t="s">
        <v>789</v>
      </c>
      <c r="F498" t="s">
        <v>794</v>
      </c>
      <c r="G498" s="38" t="s">
        <v>1285</v>
      </c>
      <c r="H498" s="19">
        <v>1152.19</v>
      </c>
      <c r="I498" s="19">
        <v>1086.4100000000001</v>
      </c>
      <c r="J498">
        <v>5</v>
      </c>
      <c r="K498">
        <v>0.15</v>
      </c>
      <c r="L498" s="19">
        <v>65.78</v>
      </c>
      <c r="M498" t="s">
        <v>1291</v>
      </c>
    </row>
    <row r="499" spans="1:13" x14ac:dyDescent="0.3">
      <c r="A499" t="s">
        <v>508</v>
      </c>
      <c r="B499" s="2" t="s">
        <v>782</v>
      </c>
      <c r="C499" s="2" t="s">
        <v>1352</v>
      </c>
      <c r="D499" s="38" t="s">
        <v>785</v>
      </c>
      <c r="E499" t="s">
        <v>787</v>
      </c>
      <c r="F499" t="s">
        <v>790</v>
      </c>
      <c r="G499" s="38" t="s">
        <v>1286</v>
      </c>
      <c r="H499" s="19">
        <v>329.15</v>
      </c>
      <c r="I499" s="19">
        <v>243.99999999999997</v>
      </c>
      <c r="J499">
        <v>5</v>
      </c>
      <c r="K499">
        <v>0</v>
      </c>
      <c r="L499" s="19">
        <v>85.15</v>
      </c>
      <c r="M499" t="s">
        <v>1291</v>
      </c>
    </row>
    <row r="500" spans="1:13" x14ac:dyDescent="0.3">
      <c r="A500" t="s">
        <v>509</v>
      </c>
      <c r="B500" s="2" t="s">
        <v>520</v>
      </c>
      <c r="C500" s="2" t="s">
        <v>1344</v>
      </c>
      <c r="D500" s="38" t="s">
        <v>784</v>
      </c>
      <c r="E500" t="s">
        <v>787</v>
      </c>
      <c r="F500" t="s">
        <v>800</v>
      </c>
      <c r="G500" s="38" t="s">
        <v>1287</v>
      </c>
      <c r="H500" s="19">
        <v>1306.75</v>
      </c>
      <c r="I500" s="19">
        <v>1259.23</v>
      </c>
      <c r="J500">
        <v>8</v>
      </c>
      <c r="K500">
        <v>0.1</v>
      </c>
      <c r="L500" s="19">
        <v>47.52</v>
      </c>
      <c r="M500" t="s">
        <v>1291</v>
      </c>
    </row>
    <row r="501" spans="1:13" x14ac:dyDescent="0.3">
      <c r="A501" t="s">
        <v>510</v>
      </c>
      <c r="B501" s="2" t="s">
        <v>755</v>
      </c>
      <c r="C501" s="2" t="s">
        <v>1345</v>
      </c>
      <c r="D501" s="38" t="s">
        <v>783</v>
      </c>
      <c r="E501" t="s">
        <v>788</v>
      </c>
      <c r="F501" t="s">
        <v>796</v>
      </c>
      <c r="G501" s="38" t="s">
        <v>1288</v>
      </c>
      <c r="H501" s="19">
        <v>1153.7</v>
      </c>
      <c r="I501" s="19">
        <v>1045.48</v>
      </c>
      <c r="J501">
        <v>9</v>
      </c>
      <c r="K501">
        <v>0.05</v>
      </c>
      <c r="L501" s="19">
        <v>108.22</v>
      </c>
      <c r="M501" t="s">
        <v>1289</v>
      </c>
    </row>
  </sheetData>
  <conditionalFormatting sqref="A1:M501">
    <cfRule type="containsBlanks" dxfId="5" priority="1">
      <formula>LEN(TRIM(A1))=0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5C49F-9FA5-40BF-8E9F-D6470DF4732D}">
  <dimension ref="A1:M47"/>
  <sheetViews>
    <sheetView showGridLines="0" workbookViewId="0">
      <selection activeCell="A22" sqref="A22"/>
    </sheetView>
  </sheetViews>
  <sheetFormatPr defaultRowHeight="14.4" x14ac:dyDescent="0.3"/>
  <cols>
    <col min="1" max="1" width="87.109375" bestFit="1" customWidth="1"/>
  </cols>
  <sheetData>
    <row r="1" spans="1:13" ht="43.95" customHeight="1" x14ac:dyDescent="0.4">
      <c r="A1" s="46" t="s">
        <v>1324</v>
      </c>
      <c r="B1" s="46"/>
      <c r="C1" s="46"/>
      <c r="D1" s="46"/>
      <c r="E1" s="46"/>
      <c r="F1" s="46"/>
      <c r="G1" s="46"/>
      <c r="H1" s="46"/>
      <c r="I1" s="46"/>
      <c r="J1" s="46"/>
      <c r="K1" s="46"/>
      <c r="L1" s="46"/>
    </row>
    <row r="2" spans="1:13" ht="18" x14ac:dyDescent="0.3">
      <c r="A2" s="22" t="s">
        <v>1293</v>
      </c>
      <c r="D2" s="26" t="s">
        <v>1300</v>
      </c>
      <c r="E2" s="27"/>
      <c r="F2" s="27"/>
      <c r="G2" s="27"/>
      <c r="H2" s="27"/>
      <c r="I2" s="27"/>
      <c r="J2" s="27"/>
      <c r="K2" s="27"/>
      <c r="L2" s="27"/>
      <c r="M2" s="28"/>
    </row>
    <row r="3" spans="1:13" x14ac:dyDescent="0.3">
      <c r="A3" s="23"/>
      <c r="D3" s="29"/>
      <c r="M3" s="30"/>
    </row>
    <row r="4" spans="1:13" x14ac:dyDescent="0.3">
      <c r="A4" s="23" t="s">
        <v>1294</v>
      </c>
      <c r="D4" s="29" t="s">
        <v>1301</v>
      </c>
      <c r="M4" s="30"/>
    </row>
    <row r="5" spans="1:13" x14ac:dyDescent="0.3">
      <c r="A5" s="23"/>
      <c r="D5" s="29"/>
      <c r="M5" s="30"/>
    </row>
    <row r="6" spans="1:13" x14ac:dyDescent="0.3">
      <c r="A6" s="23" t="s">
        <v>1295</v>
      </c>
      <c r="D6" s="29"/>
      <c r="M6" s="30"/>
    </row>
    <row r="7" spans="1:13" x14ac:dyDescent="0.3">
      <c r="A7" s="23"/>
      <c r="D7" s="31"/>
      <c r="M7" s="30"/>
    </row>
    <row r="8" spans="1:13" x14ac:dyDescent="0.3">
      <c r="A8" s="23" t="s">
        <v>1296</v>
      </c>
      <c r="D8" s="31" t="s">
        <v>2</v>
      </c>
      <c r="M8" s="30"/>
    </row>
    <row r="9" spans="1:13" x14ac:dyDescent="0.3">
      <c r="A9" s="23"/>
      <c r="D9" s="31"/>
      <c r="M9" s="30"/>
    </row>
    <row r="10" spans="1:13" x14ac:dyDescent="0.3">
      <c r="A10" s="23" t="s">
        <v>1297</v>
      </c>
      <c r="D10" s="31" t="s">
        <v>3</v>
      </c>
      <c r="M10" s="30"/>
    </row>
    <row r="11" spans="1:13" x14ac:dyDescent="0.3">
      <c r="A11" s="23"/>
      <c r="D11" s="31"/>
      <c r="M11" s="30"/>
    </row>
    <row r="12" spans="1:13" x14ac:dyDescent="0.3">
      <c r="A12" s="23"/>
      <c r="D12" s="31" t="s">
        <v>10</v>
      </c>
      <c r="M12" s="30"/>
    </row>
    <row r="13" spans="1:13" x14ac:dyDescent="0.3">
      <c r="A13" s="24"/>
      <c r="D13" s="29"/>
      <c r="M13" s="30"/>
    </row>
    <row r="14" spans="1:13" x14ac:dyDescent="0.3">
      <c r="A14" s="24" t="s">
        <v>1298</v>
      </c>
      <c r="D14" s="29" t="s">
        <v>1302</v>
      </c>
      <c r="M14" s="30"/>
    </row>
    <row r="15" spans="1:13" x14ac:dyDescent="0.3">
      <c r="A15" s="23"/>
      <c r="D15" s="29"/>
      <c r="M15" s="30"/>
    </row>
    <row r="16" spans="1:13" x14ac:dyDescent="0.3">
      <c r="A16" s="23" t="s">
        <v>1299</v>
      </c>
      <c r="D16" s="29" t="s">
        <v>1303</v>
      </c>
      <c r="M16" s="30"/>
    </row>
    <row r="17" spans="1:13" x14ac:dyDescent="0.3">
      <c r="A17" s="25"/>
      <c r="D17" s="29"/>
      <c r="M17" s="30"/>
    </row>
    <row r="18" spans="1:13" x14ac:dyDescent="0.3">
      <c r="D18" s="29" t="s">
        <v>1304</v>
      </c>
      <c r="M18" s="30"/>
    </row>
    <row r="19" spans="1:13" x14ac:dyDescent="0.3">
      <c r="D19" s="29"/>
      <c r="M19" s="30"/>
    </row>
    <row r="20" spans="1:13" x14ac:dyDescent="0.3">
      <c r="D20" s="29" t="s">
        <v>1305</v>
      </c>
      <c r="M20" s="30"/>
    </row>
    <row r="21" spans="1:13" x14ac:dyDescent="0.3">
      <c r="D21" s="32"/>
      <c r="M21" s="30"/>
    </row>
    <row r="22" spans="1:13" x14ac:dyDescent="0.3">
      <c r="D22" s="32" t="s">
        <v>1357</v>
      </c>
      <c r="F22" t="s">
        <v>1356</v>
      </c>
      <c r="M22" s="30"/>
    </row>
    <row r="23" spans="1:13" x14ac:dyDescent="0.3">
      <c r="D23" s="32"/>
      <c r="F23" t="s">
        <v>1358</v>
      </c>
      <c r="M23" s="30"/>
    </row>
    <row r="24" spans="1:13" x14ac:dyDescent="0.3">
      <c r="A24" s="40"/>
      <c r="D24" s="32"/>
      <c r="F24" t="s">
        <v>1359</v>
      </c>
      <c r="M24" s="30"/>
    </row>
    <row r="25" spans="1:13" x14ac:dyDescent="0.3">
      <c r="A25" s="41"/>
      <c r="D25" s="33"/>
      <c r="E25" s="34"/>
      <c r="F25" s="34" t="s">
        <v>1363</v>
      </c>
      <c r="G25" s="34"/>
      <c r="H25" s="34"/>
      <c r="I25" s="34"/>
      <c r="J25" s="34"/>
      <c r="K25" s="34"/>
      <c r="L25" s="34"/>
      <c r="M25" s="35"/>
    </row>
    <row r="26" spans="1:13" x14ac:dyDescent="0.3">
      <c r="A26" s="41"/>
    </row>
    <row r="27" spans="1:13" ht="18" x14ac:dyDescent="0.3">
      <c r="A27" s="42" t="s">
        <v>1306</v>
      </c>
      <c r="C27" s="56"/>
      <c r="D27" s="57" t="s">
        <v>1314</v>
      </c>
      <c r="E27" s="27"/>
      <c r="F27" s="27"/>
      <c r="G27" s="27"/>
      <c r="H27" s="27"/>
      <c r="I27" s="27"/>
      <c r="J27" s="27"/>
      <c r="K27" s="27"/>
      <c r="L27" s="27"/>
      <c r="M27" s="28"/>
    </row>
    <row r="28" spans="1:13" x14ac:dyDescent="0.3">
      <c r="A28" s="23"/>
      <c r="C28" s="32"/>
      <c r="D28" s="58"/>
      <c r="E28" s="59"/>
      <c r="F28" s="59"/>
      <c r="G28" s="59"/>
      <c r="H28" s="59"/>
      <c r="I28" s="59"/>
      <c r="J28" s="59"/>
      <c r="K28" s="59"/>
      <c r="L28" s="59"/>
      <c r="M28" s="30"/>
    </row>
    <row r="29" spans="1:13" x14ac:dyDescent="0.3">
      <c r="A29" s="62" t="s">
        <v>1380</v>
      </c>
      <c r="C29" s="32"/>
      <c r="D29" s="58" t="s">
        <v>1315</v>
      </c>
      <c r="E29" s="59"/>
      <c r="F29" s="59"/>
      <c r="G29" s="59"/>
      <c r="H29" s="59"/>
      <c r="I29" s="59"/>
      <c r="J29" s="59"/>
      <c r="K29" s="59"/>
      <c r="L29" s="59"/>
      <c r="M29" s="30"/>
    </row>
    <row r="30" spans="1:13" x14ac:dyDescent="0.3">
      <c r="A30" s="23"/>
      <c r="C30" s="32"/>
      <c r="D30" s="58"/>
      <c r="E30" s="59"/>
      <c r="F30" s="59"/>
      <c r="G30" s="59"/>
      <c r="H30" s="59"/>
      <c r="I30" s="59"/>
      <c r="J30" s="59"/>
      <c r="K30" s="59"/>
      <c r="L30" s="59"/>
      <c r="M30" s="30"/>
    </row>
    <row r="31" spans="1:13" x14ac:dyDescent="0.3">
      <c r="A31" s="23" t="s">
        <v>1307</v>
      </c>
      <c r="C31" s="32"/>
      <c r="D31" s="58" t="s">
        <v>1316</v>
      </c>
      <c r="E31" s="59"/>
      <c r="F31" s="59"/>
      <c r="G31" s="59"/>
      <c r="H31" s="59"/>
      <c r="I31" s="59"/>
      <c r="J31" s="59"/>
      <c r="K31" s="59"/>
      <c r="L31" s="59"/>
      <c r="M31" s="30"/>
    </row>
    <row r="32" spans="1:13" x14ac:dyDescent="0.3">
      <c r="A32" s="23"/>
      <c r="C32" s="32"/>
      <c r="D32" s="58"/>
      <c r="E32" s="59"/>
      <c r="F32" s="59"/>
      <c r="G32" s="59"/>
      <c r="H32" s="59"/>
      <c r="I32" s="59"/>
      <c r="J32" s="59"/>
      <c r="K32" s="59"/>
      <c r="L32" s="59"/>
      <c r="M32" s="30"/>
    </row>
    <row r="33" spans="1:13" x14ac:dyDescent="0.3">
      <c r="A33" s="23" t="s">
        <v>1308</v>
      </c>
      <c r="C33" s="32"/>
      <c r="D33" s="58" t="s">
        <v>1317</v>
      </c>
      <c r="E33" s="59"/>
      <c r="F33" s="59"/>
      <c r="G33" s="59"/>
      <c r="H33" s="59"/>
      <c r="I33" s="59"/>
      <c r="J33" s="59"/>
      <c r="K33" s="59"/>
      <c r="L33" s="59"/>
      <c r="M33" s="30"/>
    </row>
    <row r="34" spans="1:13" x14ac:dyDescent="0.3">
      <c r="A34" s="23"/>
      <c r="C34" s="32"/>
      <c r="D34" s="58"/>
      <c r="E34" s="59"/>
      <c r="F34" s="59"/>
      <c r="G34" s="59"/>
      <c r="H34" s="59"/>
      <c r="I34" s="59"/>
      <c r="J34" s="59"/>
      <c r="K34" s="59"/>
      <c r="L34" s="59"/>
      <c r="M34" s="30"/>
    </row>
    <row r="35" spans="1:13" x14ac:dyDescent="0.3">
      <c r="A35" s="23" t="s">
        <v>1309</v>
      </c>
      <c r="C35" s="32"/>
      <c r="D35" s="58" t="s">
        <v>1318</v>
      </c>
      <c r="E35" s="59"/>
      <c r="F35" s="59"/>
      <c r="G35" s="59"/>
      <c r="H35" s="59"/>
      <c r="I35" s="59"/>
      <c r="J35" s="59"/>
      <c r="K35" s="59"/>
      <c r="L35" s="59"/>
      <c r="M35" s="30"/>
    </row>
    <row r="36" spans="1:13" x14ac:dyDescent="0.3">
      <c r="A36" s="23"/>
      <c r="C36" s="32"/>
      <c r="D36" s="58"/>
      <c r="E36" s="59"/>
      <c r="F36" s="59"/>
      <c r="G36" s="59"/>
      <c r="H36" s="59"/>
      <c r="I36" s="59"/>
      <c r="J36" s="59"/>
      <c r="K36" s="59"/>
      <c r="L36" s="59"/>
      <c r="M36" s="30"/>
    </row>
    <row r="37" spans="1:13" x14ac:dyDescent="0.3">
      <c r="A37" s="23" t="s">
        <v>1310</v>
      </c>
      <c r="C37" s="32"/>
      <c r="D37" s="58" t="s">
        <v>1319</v>
      </c>
      <c r="E37" s="59"/>
      <c r="F37" s="59"/>
      <c r="G37" s="59"/>
      <c r="H37" s="59"/>
      <c r="I37" s="59"/>
      <c r="J37" s="59"/>
      <c r="K37" s="59"/>
      <c r="L37" s="59"/>
      <c r="M37" s="30"/>
    </row>
    <row r="38" spans="1:13" x14ac:dyDescent="0.3">
      <c r="A38" s="23"/>
      <c r="C38" s="32"/>
      <c r="D38" s="58"/>
      <c r="E38" s="59"/>
      <c r="F38" s="59"/>
      <c r="G38" s="59"/>
      <c r="H38" s="59"/>
      <c r="I38" s="59"/>
      <c r="J38" s="59"/>
      <c r="K38" s="59"/>
      <c r="L38" s="59"/>
      <c r="M38" s="30"/>
    </row>
    <row r="39" spans="1:13" x14ac:dyDescent="0.3">
      <c r="A39" s="23" t="s">
        <v>1378</v>
      </c>
      <c r="C39" s="32"/>
      <c r="D39" s="58" t="s">
        <v>1320</v>
      </c>
      <c r="E39" s="59"/>
      <c r="F39" s="59"/>
      <c r="G39" s="59"/>
      <c r="H39" s="59"/>
      <c r="I39" s="59"/>
      <c r="J39" s="59"/>
      <c r="K39" s="59"/>
      <c r="L39" s="59"/>
      <c r="M39" s="30"/>
    </row>
    <row r="40" spans="1:13" x14ac:dyDescent="0.3">
      <c r="A40" s="23"/>
      <c r="C40" s="32"/>
      <c r="D40" s="58"/>
      <c r="E40" s="59"/>
      <c r="F40" s="59"/>
      <c r="G40" s="59"/>
      <c r="H40" s="59"/>
      <c r="I40" s="59"/>
      <c r="J40" s="59"/>
      <c r="K40" s="59"/>
      <c r="L40" s="59"/>
      <c r="M40" s="30"/>
    </row>
    <row r="41" spans="1:13" x14ac:dyDescent="0.3">
      <c r="A41" s="23" t="s">
        <v>1311</v>
      </c>
      <c r="C41" s="32"/>
      <c r="D41" s="58" t="s">
        <v>1321</v>
      </c>
      <c r="E41" s="59"/>
      <c r="F41" s="59"/>
      <c r="G41" s="59"/>
      <c r="H41" s="59"/>
      <c r="I41" s="59"/>
      <c r="J41" s="59"/>
      <c r="K41" s="59"/>
      <c r="L41" s="59"/>
      <c r="M41" s="30"/>
    </row>
    <row r="42" spans="1:13" x14ac:dyDescent="0.3">
      <c r="A42" s="23"/>
      <c r="C42" s="32"/>
      <c r="D42" s="58"/>
      <c r="E42" s="59"/>
      <c r="F42" s="59"/>
      <c r="G42" s="59"/>
      <c r="H42" s="59"/>
      <c r="I42" s="59"/>
      <c r="J42" s="59"/>
      <c r="K42" s="59"/>
      <c r="L42" s="59"/>
      <c r="M42" s="30"/>
    </row>
    <row r="43" spans="1:13" x14ac:dyDescent="0.3">
      <c r="A43" s="23" t="s">
        <v>1312</v>
      </c>
      <c r="C43" s="32"/>
      <c r="D43" s="58" t="s">
        <v>1322</v>
      </c>
      <c r="E43" s="59"/>
      <c r="F43" s="59"/>
      <c r="G43" s="59"/>
      <c r="H43" s="59"/>
      <c r="I43" s="59"/>
      <c r="J43" s="59"/>
      <c r="K43" s="59"/>
      <c r="L43" s="59"/>
      <c r="M43" s="30"/>
    </row>
    <row r="44" spans="1:13" x14ac:dyDescent="0.3">
      <c r="A44" s="23"/>
      <c r="C44" s="32"/>
      <c r="D44" s="58"/>
      <c r="E44" s="59"/>
      <c r="F44" s="59"/>
      <c r="G44" s="59"/>
      <c r="H44" s="59"/>
      <c r="I44" s="59"/>
      <c r="J44" s="59"/>
      <c r="K44" s="59"/>
      <c r="L44" s="59"/>
      <c r="M44" s="30"/>
    </row>
    <row r="45" spans="1:13" x14ac:dyDescent="0.3">
      <c r="A45" s="23" t="s">
        <v>1313</v>
      </c>
      <c r="C45" s="32"/>
      <c r="D45" s="58" t="s">
        <v>1323</v>
      </c>
      <c r="E45" s="59"/>
      <c r="F45" s="59"/>
      <c r="G45" s="59"/>
      <c r="H45" s="59"/>
      <c r="I45" s="59"/>
      <c r="J45" s="59"/>
      <c r="K45" s="59"/>
      <c r="L45" s="59"/>
      <c r="M45" s="30"/>
    </row>
    <row r="46" spans="1:13" x14ac:dyDescent="0.3">
      <c r="A46" s="25"/>
      <c r="C46" s="32"/>
      <c r="D46" s="59"/>
      <c r="E46" s="59"/>
      <c r="F46" s="59"/>
      <c r="G46" s="59"/>
      <c r="H46" s="59"/>
      <c r="I46" s="59"/>
      <c r="J46" s="59"/>
      <c r="K46" s="59"/>
      <c r="L46" s="59"/>
      <c r="M46" s="30"/>
    </row>
    <row r="47" spans="1:13" x14ac:dyDescent="0.3">
      <c r="C47" s="33"/>
      <c r="D47" s="34"/>
      <c r="E47" s="34"/>
      <c r="F47" s="34"/>
      <c r="G47" s="34"/>
      <c r="H47" s="34"/>
      <c r="I47" s="34"/>
      <c r="J47" s="34"/>
      <c r="K47" s="34"/>
      <c r="L47" s="34"/>
      <c r="M47" s="35"/>
    </row>
  </sheetData>
  <mergeCells count="1">
    <mergeCell ref="A1:L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01"/>
  <sheetViews>
    <sheetView topLeftCell="A378" zoomScale="99" zoomScaleNormal="99" workbookViewId="0">
      <selection activeCell="F483" sqref="F483"/>
    </sheetView>
  </sheetViews>
  <sheetFormatPr defaultRowHeight="14.4" x14ac:dyDescent="0.3"/>
  <cols>
    <col min="1" max="1" width="9.33203125" bestFit="1" customWidth="1"/>
    <col min="2" max="2" width="10.33203125" style="2" bestFit="1" customWidth="1"/>
    <col min="3" max="3" width="12.44140625" style="2" bestFit="1" customWidth="1"/>
    <col min="4" max="4" width="6.6640625" bestFit="1" customWidth="1"/>
    <col min="5" max="5" width="13.109375" bestFit="1" customWidth="1"/>
    <col min="6" max="6" width="12.44140625" bestFit="1" customWidth="1"/>
    <col min="7" max="7" width="18.44140625" bestFit="1" customWidth="1"/>
    <col min="8" max="8" width="8" bestFit="1" customWidth="1"/>
    <col min="9" max="10" width="8.33203125" bestFit="1" customWidth="1"/>
    <col min="11" max="11" width="7.6640625" bestFit="1" customWidth="1"/>
    <col min="12" max="12" width="13.6640625" bestFit="1" customWidth="1"/>
    <col min="13" max="13" width="12.6640625" style="4" bestFit="1" customWidth="1"/>
    <col min="14" max="14" width="17.109375" bestFit="1" customWidth="1"/>
    <col min="15" max="15" width="16.88671875" bestFit="1" customWidth="1"/>
  </cols>
  <sheetData>
    <row r="1" spans="1:14" x14ac:dyDescent="0.3">
      <c r="A1" s="1" t="s">
        <v>0</v>
      </c>
      <c r="B1" s="7" t="s">
        <v>1</v>
      </c>
      <c r="C1" s="5" t="s">
        <v>1325</v>
      </c>
      <c r="D1" s="8" t="s">
        <v>2</v>
      </c>
      <c r="E1" s="1" t="s">
        <v>3</v>
      </c>
      <c r="F1" s="1" t="s">
        <v>4</v>
      </c>
      <c r="G1" s="1" t="s">
        <v>5</v>
      </c>
      <c r="H1" s="1" t="s">
        <v>6</v>
      </c>
      <c r="I1" s="1" t="s">
        <v>7</v>
      </c>
      <c r="J1" s="1" t="s">
        <v>8</v>
      </c>
      <c r="K1" s="1" t="s">
        <v>9</v>
      </c>
      <c r="L1" s="1" t="s">
        <v>10</v>
      </c>
      <c r="M1" s="3" t="s">
        <v>1292</v>
      </c>
      <c r="N1" s="3" t="s">
        <v>1326</v>
      </c>
    </row>
    <row r="2" spans="1:14" x14ac:dyDescent="0.3">
      <c r="A2" t="s">
        <v>11</v>
      </c>
      <c r="B2" s="2" t="s">
        <v>511</v>
      </c>
      <c r="C2" s="9" t="str">
        <f>TEXT(B2,"MM-YYYY")</f>
        <v>06-2023</v>
      </c>
      <c r="D2" t="s">
        <v>783</v>
      </c>
      <c r="E2" t="s">
        <v>787</v>
      </c>
      <c r="F2" t="s">
        <v>790</v>
      </c>
      <c r="G2" t="s">
        <v>802</v>
      </c>
      <c r="H2">
        <v>939.29</v>
      </c>
      <c r="I2">
        <v>9</v>
      </c>
      <c r="J2">
        <v>0.05</v>
      </c>
      <c r="K2">
        <v>2.5</v>
      </c>
      <c r="L2" t="s">
        <v>1289</v>
      </c>
      <c r="M2" s="6">
        <f>K2/H2</f>
        <v>2.6615848140616851E-3</v>
      </c>
      <c r="N2" s="6" t="str" cm="1">
        <f t="array" ref="N2">_xlfn.IFS('Data Cleaning &amp; Transf'!H2&lt;500,"LOW",AND('Data Cleaning &amp; Transf'!H2 &gt;500,'Data Cleaning &amp; Transf'!H2&lt;1000),"Medium",'Data Cleaning &amp; Transf'!H2&gt;1000,"High")</f>
        <v>Medium</v>
      </c>
    </row>
    <row r="3" spans="1:14" x14ac:dyDescent="0.3">
      <c r="A3" t="s">
        <v>12</v>
      </c>
      <c r="B3" s="2" t="s">
        <v>512</v>
      </c>
      <c r="C3" s="9" t="str">
        <f t="shared" ref="C3:C66" si="0">TEXT(B3,"MM-YYYY")</f>
        <v>04-2023</v>
      </c>
      <c r="D3" t="s">
        <v>784</v>
      </c>
      <c r="E3" t="s">
        <v>788</v>
      </c>
      <c r="F3" t="s">
        <v>791</v>
      </c>
      <c r="G3" t="s">
        <v>803</v>
      </c>
      <c r="H3">
        <v>120.25</v>
      </c>
      <c r="I3">
        <v>6</v>
      </c>
      <c r="J3">
        <v>0</v>
      </c>
      <c r="K3">
        <v>31.33</v>
      </c>
      <c r="L3" t="s">
        <v>1290</v>
      </c>
      <c r="M3" s="6">
        <f t="shared" ref="M3:M66" si="1">K3/H3</f>
        <v>0.26054054054054054</v>
      </c>
      <c r="N3" s="6" t="str" cm="1">
        <f t="array" ref="N3">_xlfn.IFS('Data Cleaning &amp; Transf'!H3&lt;500,"LOW",AND('Data Cleaning &amp; Transf'!H3 &gt;500,'Data Cleaning &amp; Transf'!H3&lt;1000),"Medium",'Data Cleaning &amp; Transf'!H3&gt;1000,"High")</f>
        <v>LOW</v>
      </c>
    </row>
    <row r="4" spans="1:14" x14ac:dyDescent="0.3">
      <c r="A4" t="s">
        <v>13</v>
      </c>
      <c r="B4" s="2" t="s">
        <v>513</v>
      </c>
      <c r="C4" s="9" t="str">
        <f t="shared" si="0"/>
        <v>01-2023</v>
      </c>
      <c r="D4" t="s">
        <v>785</v>
      </c>
      <c r="E4" t="s">
        <v>788</v>
      </c>
      <c r="F4" t="s">
        <v>791</v>
      </c>
      <c r="G4" t="s">
        <v>804</v>
      </c>
      <c r="H4">
        <v>706.1</v>
      </c>
      <c r="I4">
        <v>4</v>
      </c>
      <c r="J4">
        <v>0.15</v>
      </c>
      <c r="K4">
        <v>91.85</v>
      </c>
      <c r="L4" t="s">
        <v>1289</v>
      </c>
      <c r="M4" s="6">
        <f t="shared" si="1"/>
        <v>0.13008072510975782</v>
      </c>
      <c r="N4" s="6" t="str" cm="1">
        <f t="array" ref="N4">_xlfn.IFS('Data Cleaning &amp; Transf'!H4&lt;500,"LOW",AND('Data Cleaning &amp; Transf'!H4 &gt;500,'Data Cleaning &amp; Transf'!H4&lt;1000),"Medium",'Data Cleaning &amp; Transf'!H4&gt;1000,"High")</f>
        <v>Medium</v>
      </c>
    </row>
    <row r="5" spans="1:14" x14ac:dyDescent="0.3">
      <c r="A5" t="s">
        <v>14</v>
      </c>
      <c r="B5" s="2" t="s">
        <v>514</v>
      </c>
      <c r="C5" s="9" t="str">
        <f t="shared" si="0"/>
        <v>09-2023</v>
      </c>
      <c r="D5" t="s">
        <v>784</v>
      </c>
      <c r="E5" t="s">
        <v>787</v>
      </c>
      <c r="F5" t="s">
        <v>792</v>
      </c>
      <c r="G5" t="s">
        <v>805</v>
      </c>
      <c r="H5">
        <v>669.02</v>
      </c>
      <c r="I5">
        <v>1</v>
      </c>
      <c r="J5">
        <v>0.1</v>
      </c>
      <c r="K5">
        <v>86.37</v>
      </c>
      <c r="L5" t="s">
        <v>1289</v>
      </c>
      <c r="M5" s="6">
        <f t="shared" si="1"/>
        <v>0.12909927954321246</v>
      </c>
      <c r="N5" s="6" t="str" cm="1">
        <f t="array" ref="N5">_xlfn.IFS('Data Cleaning &amp; Transf'!H5&lt;500,"LOW",AND('Data Cleaning &amp; Transf'!H5 &gt;500,'Data Cleaning &amp; Transf'!H5&lt;1000),"Medium",'Data Cleaning &amp; Transf'!H5&gt;1000,"High")</f>
        <v>Medium</v>
      </c>
    </row>
    <row r="6" spans="1:14" x14ac:dyDescent="0.3">
      <c r="A6" t="s">
        <v>15</v>
      </c>
      <c r="B6" s="2" t="s">
        <v>515</v>
      </c>
      <c r="C6" s="9" t="str">
        <f t="shared" si="0"/>
        <v>02-2023</v>
      </c>
      <c r="D6" t="s">
        <v>785</v>
      </c>
      <c r="E6" t="s">
        <v>787</v>
      </c>
      <c r="F6" t="s">
        <v>790</v>
      </c>
      <c r="G6" t="s">
        <v>806</v>
      </c>
      <c r="H6">
        <v>1920.14</v>
      </c>
      <c r="I6">
        <v>6</v>
      </c>
      <c r="J6">
        <v>0.15</v>
      </c>
      <c r="K6">
        <v>252.83</v>
      </c>
      <c r="L6" t="s">
        <v>1291</v>
      </c>
      <c r="M6" s="6">
        <f t="shared" si="1"/>
        <v>0.13167269053298197</v>
      </c>
      <c r="N6" s="6" t="str" cm="1">
        <f t="array" ref="N6">_xlfn.IFS('Data Cleaning &amp; Transf'!H6&lt;500,"LOW",AND('Data Cleaning &amp; Transf'!H6 &gt;500,'Data Cleaning &amp; Transf'!H6&lt;1000),"Medium",'Data Cleaning &amp; Transf'!H6&gt;1000,"High")</f>
        <v>High</v>
      </c>
    </row>
    <row r="7" spans="1:14" x14ac:dyDescent="0.3">
      <c r="A7" t="s">
        <v>16</v>
      </c>
      <c r="B7" s="2" t="s">
        <v>516</v>
      </c>
      <c r="C7" s="9" t="str">
        <f t="shared" si="0"/>
        <v>07-2023</v>
      </c>
      <c r="D7" t="s">
        <v>784</v>
      </c>
      <c r="E7" t="s">
        <v>788</v>
      </c>
      <c r="F7" t="s">
        <v>793</v>
      </c>
      <c r="G7" t="s">
        <v>807</v>
      </c>
      <c r="H7">
        <v>1058.54</v>
      </c>
      <c r="I7">
        <v>3</v>
      </c>
      <c r="J7">
        <v>0.05</v>
      </c>
      <c r="K7">
        <v>252.93</v>
      </c>
      <c r="L7" t="s">
        <v>1290</v>
      </c>
      <c r="M7" s="6">
        <f t="shared" si="1"/>
        <v>0.23894231677593669</v>
      </c>
      <c r="N7" s="6" t="str" cm="1">
        <f t="array" ref="N7">_xlfn.IFS('Data Cleaning &amp; Transf'!H7&lt;500,"LOW",AND('Data Cleaning &amp; Transf'!H7 &gt;500,'Data Cleaning &amp; Transf'!H7&lt;1000),"Medium",'Data Cleaning &amp; Transf'!H7&gt;1000,"High")</f>
        <v>High</v>
      </c>
    </row>
    <row r="8" spans="1:14" x14ac:dyDescent="0.3">
      <c r="A8" t="s">
        <v>17</v>
      </c>
      <c r="B8" s="2" t="s">
        <v>517</v>
      </c>
      <c r="C8" s="9" t="str">
        <f t="shared" si="0"/>
        <v>07-2023</v>
      </c>
      <c r="D8" t="s">
        <v>786</v>
      </c>
      <c r="E8" t="s">
        <v>789</v>
      </c>
      <c r="F8" t="s">
        <v>794</v>
      </c>
      <c r="G8" t="s">
        <v>808</v>
      </c>
      <c r="H8">
        <v>1171.1199999999999</v>
      </c>
      <c r="I8">
        <v>10</v>
      </c>
      <c r="J8">
        <v>0.15</v>
      </c>
      <c r="K8">
        <v>-107.33</v>
      </c>
      <c r="L8" t="s">
        <v>1289</v>
      </c>
      <c r="M8" s="6">
        <f t="shared" si="1"/>
        <v>-9.1647311974861673E-2</v>
      </c>
      <c r="N8" s="6" t="str" cm="1">
        <f t="array" ref="N8">_xlfn.IFS('Data Cleaning &amp; Transf'!H8&lt;500,"LOW",AND('Data Cleaning &amp; Transf'!H8 &gt;500,'Data Cleaning &amp; Transf'!H8&lt;1000),"Medium",'Data Cleaning &amp; Transf'!H8&gt;1000,"High")</f>
        <v>High</v>
      </c>
    </row>
    <row r="9" spans="1:14" x14ac:dyDescent="0.3">
      <c r="A9" t="s">
        <v>18</v>
      </c>
      <c r="B9" s="2" t="s">
        <v>518</v>
      </c>
      <c r="C9" s="9" t="str">
        <f t="shared" si="0"/>
        <v>07-2023</v>
      </c>
      <c r="D9" t="s">
        <v>784</v>
      </c>
      <c r="E9" t="s">
        <v>787</v>
      </c>
      <c r="F9" t="s">
        <v>792</v>
      </c>
      <c r="G9" t="s">
        <v>809</v>
      </c>
      <c r="H9">
        <v>1044.52</v>
      </c>
      <c r="I9">
        <v>1</v>
      </c>
      <c r="J9">
        <v>0.1</v>
      </c>
      <c r="K9">
        <v>4.32</v>
      </c>
      <c r="L9" t="s">
        <v>1289</v>
      </c>
      <c r="M9" s="6">
        <f t="shared" si="1"/>
        <v>4.1358710220962746E-3</v>
      </c>
      <c r="N9" s="6" t="str" cm="1">
        <f t="array" ref="N9">_xlfn.IFS('Data Cleaning &amp; Transf'!H9&lt;500,"LOW",AND('Data Cleaning &amp; Transf'!H9 &gt;500,'Data Cleaning &amp; Transf'!H9&lt;1000),"Medium",'Data Cleaning &amp; Transf'!H9&gt;1000,"High")</f>
        <v>High</v>
      </c>
    </row>
    <row r="10" spans="1:14" x14ac:dyDescent="0.3">
      <c r="A10" t="s">
        <v>19</v>
      </c>
      <c r="B10" s="2" t="s">
        <v>519</v>
      </c>
      <c r="C10" s="9" t="str">
        <f t="shared" si="0"/>
        <v>05-2023</v>
      </c>
      <c r="D10" t="s">
        <v>784</v>
      </c>
      <c r="E10" t="s">
        <v>788</v>
      </c>
      <c r="F10" t="s">
        <v>795</v>
      </c>
      <c r="G10" t="s">
        <v>810</v>
      </c>
      <c r="H10">
        <v>644.08000000000004</v>
      </c>
      <c r="I10">
        <v>3</v>
      </c>
      <c r="J10">
        <v>0.15</v>
      </c>
      <c r="K10">
        <v>-47.44</v>
      </c>
      <c r="L10" t="s">
        <v>1290</v>
      </c>
      <c r="M10" s="6">
        <f t="shared" si="1"/>
        <v>-7.365544652838156E-2</v>
      </c>
      <c r="N10" s="6" t="str" cm="1">
        <f t="array" ref="N10">_xlfn.IFS('Data Cleaning &amp; Transf'!H10&lt;500,"LOW",AND('Data Cleaning &amp; Transf'!H10 &gt;500,'Data Cleaning &amp; Transf'!H10&lt;1000),"Medium",'Data Cleaning &amp; Transf'!H10&gt;1000,"High")</f>
        <v>Medium</v>
      </c>
    </row>
    <row r="11" spans="1:14" x14ac:dyDescent="0.3">
      <c r="A11" t="s">
        <v>20</v>
      </c>
      <c r="B11" s="2" t="s">
        <v>520</v>
      </c>
      <c r="C11" s="9" t="str">
        <f t="shared" si="0"/>
        <v>08-2023</v>
      </c>
      <c r="D11" t="s">
        <v>784</v>
      </c>
      <c r="E11" t="s">
        <v>788</v>
      </c>
      <c r="F11" t="s">
        <v>791</v>
      </c>
      <c r="G11" t="s">
        <v>811</v>
      </c>
      <c r="H11">
        <v>854.51</v>
      </c>
      <c r="I11">
        <v>7</v>
      </c>
      <c r="J11">
        <v>0.1</v>
      </c>
      <c r="K11">
        <v>114.35</v>
      </c>
      <c r="L11" t="s">
        <v>1289</v>
      </c>
      <c r="M11" s="6">
        <f t="shared" si="1"/>
        <v>0.1338193818679711</v>
      </c>
      <c r="N11" s="6" t="str" cm="1">
        <f t="array" ref="N11">_xlfn.IFS('Data Cleaning &amp; Transf'!H11&lt;500,"LOW",AND('Data Cleaning &amp; Transf'!H11 &gt;500,'Data Cleaning &amp; Transf'!H11&lt;1000),"Medium",'Data Cleaning &amp; Transf'!H11&gt;1000,"High")</f>
        <v>Medium</v>
      </c>
    </row>
    <row r="12" spans="1:14" x14ac:dyDescent="0.3">
      <c r="A12" t="s">
        <v>21</v>
      </c>
      <c r="B12" s="2" t="s">
        <v>521</v>
      </c>
      <c r="C12" s="9" t="str">
        <f t="shared" si="0"/>
        <v>03-2023</v>
      </c>
      <c r="D12" t="s">
        <v>785</v>
      </c>
      <c r="E12" t="s">
        <v>788</v>
      </c>
      <c r="F12" t="s">
        <v>796</v>
      </c>
      <c r="G12" t="s">
        <v>812</v>
      </c>
      <c r="H12">
        <v>604.76</v>
      </c>
      <c r="I12">
        <v>8</v>
      </c>
      <c r="J12">
        <v>0.1</v>
      </c>
      <c r="K12">
        <v>-14.51</v>
      </c>
      <c r="L12" t="s">
        <v>1290</v>
      </c>
      <c r="M12" s="6">
        <f t="shared" si="1"/>
        <v>-2.399298895429592E-2</v>
      </c>
      <c r="N12" s="6" t="str" cm="1">
        <f t="array" ref="N12">_xlfn.IFS('Data Cleaning &amp; Transf'!H12&lt;500,"LOW",AND('Data Cleaning &amp; Transf'!H12 &gt;500,'Data Cleaning &amp; Transf'!H12&lt;1000),"Medium",'Data Cleaning &amp; Transf'!H12&gt;1000,"High")</f>
        <v>Medium</v>
      </c>
    </row>
    <row r="13" spans="1:14" x14ac:dyDescent="0.3">
      <c r="A13" t="s">
        <v>22</v>
      </c>
      <c r="B13" s="2" t="s">
        <v>522</v>
      </c>
      <c r="C13" s="9" t="str">
        <f t="shared" si="0"/>
        <v>09-2023</v>
      </c>
      <c r="D13" t="s">
        <v>783</v>
      </c>
      <c r="E13" t="s">
        <v>788</v>
      </c>
      <c r="F13" t="s">
        <v>793</v>
      </c>
      <c r="G13" t="s">
        <v>813</v>
      </c>
      <c r="H13">
        <v>1783.63</v>
      </c>
      <c r="I13">
        <v>4</v>
      </c>
      <c r="J13">
        <v>0.2</v>
      </c>
      <c r="K13">
        <v>95.72</v>
      </c>
      <c r="L13" t="s">
        <v>1291</v>
      </c>
      <c r="M13" s="6">
        <f t="shared" si="1"/>
        <v>5.3665838767008846E-2</v>
      </c>
      <c r="N13" s="6" t="str" cm="1">
        <f t="array" ref="N13">_xlfn.IFS('Data Cleaning &amp; Transf'!H13&lt;500,"LOW",AND('Data Cleaning &amp; Transf'!H13 &gt;500,'Data Cleaning &amp; Transf'!H13&lt;1000),"Medium",'Data Cleaning &amp; Transf'!H13&gt;1000,"High")</f>
        <v>High</v>
      </c>
    </row>
    <row r="14" spans="1:14" x14ac:dyDescent="0.3">
      <c r="A14" t="s">
        <v>23</v>
      </c>
      <c r="B14" s="2" t="s">
        <v>523</v>
      </c>
      <c r="C14" s="9" t="str">
        <f t="shared" si="0"/>
        <v>11-2023</v>
      </c>
      <c r="D14" t="s">
        <v>786</v>
      </c>
      <c r="E14" t="s">
        <v>789</v>
      </c>
      <c r="F14" t="s">
        <v>797</v>
      </c>
      <c r="G14" t="s">
        <v>814</v>
      </c>
      <c r="H14">
        <v>887.31</v>
      </c>
      <c r="I14">
        <v>3</v>
      </c>
      <c r="J14">
        <v>0</v>
      </c>
      <c r="K14">
        <v>204.65</v>
      </c>
      <c r="L14" t="s">
        <v>1291</v>
      </c>
      <c r="M14" s="6">
        <f t="shared" si="1"/>
        <v>0.23064092594470931</v>
      </c>
      <c r="N14" s="6" t="str" cm="1">
        <f t="array" ref="N14">_xlfn.IFS('Data Cleaning &amp; Transf'!H14&lt;500,"LOW",AND('Data Cleaning &amp; Transf'!H14 &gt;500,'Data Cleaning &amp; Transf'!H14&lt;1000),"Medium",'Data Cleaning &amp; Transf'!H14&gt;1000,"High")</f>
        <v>Medium</v>
      </c>
    </row>
    <row r="15" spans="1:14" x14ac:dyDescent="0.3">
      <c r="A15" t="s">
        <v>24</v>
      </c>
      <c r="B15" s="2" t="s">
        <v>524</v>
      </c>
      <c r="C15" s="9" t="str">
        <f t="shared" si="0"/>
        <v>09-2023</v>
      </c>
      <c r="D15" t="s">
        <v>786</v>
      </c>
      <c r="E15" t="s">
        <v>789</v>
      </c>
      <c r="F15" t="s">
        <v>798</v>
      </c>
      <c r="G15" t="s">
        <v>815</v>
      </c>
      <c r="H15">
        <v>1887.78</v>
      </c>
      <c r="I15">
        <v>8</v>
      </c>
      <c r="J15">
        <v>0.2</v>
      </c>
      <c r="K15">
        <v>-42</v>
      </c>
      <c r="L15" t="s">
        <v>1289</v>
      </c>
      <c r="M15" s="6">
        <f t="shared" si="1"/>
        <v>-2.2248355210882625E-2</v>
      </c>
      <c r="N15" s="6" t="str" cm="1">
        <f t="array" ref="N15">_xlfn.IFS('Data Cleaning &amp; Transf'!H15&lt;500,"LOW",AND('Data Cleaning &amp; Transf'!H15 &gt;500,'Data Cleaning &amp; Transf'!H15&lt;1000),"Medium",'Data Cleaning &amp; Transf'!H15&gt;1000,"High")</f>
        <v>High</v>
      </c>
    </row>
    <row r="16" spans="1:14" x14ac:dyDescent="0.3">
      <c r="A16" t="s">
        <v>25</v>
      </c>
      <c r="B16" s="2" t="s">
        <v>525</v>
      </c>
      <c r="C16" s="9" t="str">
        <f t="shared" si="0"/>
        <v>06-2023</v>
      </c>
      <c r="D16" t="s">
        <v>786</v>
      </c>
      <c r="E16" t="s">
        <v>789</v>
      </c>
      <c r="F16" t="s">
        <v>797</v>
      </c>
      <c r="G16" t="s">
        <v>816</v>
      </c>
      <c r="H16">
        <v>1141.98</v>
      </c>
      <c r="I16">
        <v>2</v>
      </c>
      <c r="J16">
        <v>0.05</v>
      </c>
      <c r="K16">
        <v>50.38</v>
      </c>
      <c r="L16" t="s">
        <v>1291</v>
      </c>
      <c r="M16" s="6">
        <f t="shared" si="1"/>
        <v>4.4116359305767176E-2</v>
      </c>
      <c r="N16" s="6" t="str" cm="1">
        <f t="array" ref="N16">_xlfn.IFS('Data Cleaning &amp; Transf'!H16&lt;500,"LOW",AND('Data Cleaning &amp; Transf'!H16 &gt;500,'Data Cleaning &amp; Transf'!H16&lt;1000),"Medium",'Data Cleaning &amp; Transf'!H16&gt;1000,"High")</f>
        <v>High</v>
      </c>
    </row>
    <row r="17" spans="1:16" x14ac:dyDescent="0.3">
      <c r="A17" t="s">
        <v>26</v>
      </c>
      <c r="B17" s="2" t="s">
        <v>526</v>
      </c>
      <c r="C17" s="9" t="str">
        <f t="shared" si="0"/>
        <v>09-2023</v>
      </c>
      <c r="D17" t="s">
        <v>785</v>
      </c>
      <c r="E17" t="s">
        <v>789</v>
      </c>
      <c r="F17" t="s">
        <v>798</v>
      </c>
      <c r="G17" t="s">
        <v>817</v>
      </c>
      <c r="H17">
        <v>142.13</v>
      </c>
      <c r="I17">
        <v>7</v>
      </c>
      <c r="J17">
        <v>0.1</v>
      </c>
      <c r="K17">
        <v>24.1</v>
      </c>
      <c r="L17" t="s">
        <v>1290</v>
      </c>
      <c r="M17" s="6">
        <f t="shared" si="1"/>
        <v>0.16956307605713081</v>
      </c>
      <c r="N17" s="6" t="str" cm="1">
        <f t="array" ref="N17">_xlfn.IFS('Data Cleaning &amp; Transf'!H17&lt;500,"LOW",AND('Data Cleaning &amp; Transf'!H17 &gt;500,'Data Cleaning &amp; Transf'!H17&lt;1000),"Medium",'Data Cleaning &amp; Transf'!H17&gt;1000,"High")</f>
        <v>LOW</v>
      </c>
    </row>
    <row r="18" spans="1:16" x14ac:dyDescent="0.3">
      <c r="A18" t="s">
        <v>27</v>
      </c>
      <c r="B18" s="2" t="s">
        <v>527</v>
      </c>
      <c r="C18" s="9" t="str">
        <f t="shared" si="0"/>
        <v>03-2023</v>
      </c>
      <c r="D18" t="s">
        <v>784</v>
      </c>
      <c r="E18" t="s">
        <v>789</v>
      </c>
      <c r="F18" t="s">
        <v>799</v>
      </c>
      <c r="G18" t="s">
        <v>818</v>
      </c>
      <c r="H18">
        <v>320.69</v>
      </c>
      <c r="I18">
        <v>10</v>
      </c>
      <c r="J18">
        <v>0.05</v>
      </c>
      <c r="K18">
        <v>3.82</v>
      </c>
      <c r="L18" t="s">
        <v>1291</v>
      </c>
      <c r="M18" s="6">
        <f t="shared" si="1"/>
        <v>1.1911815148585862E-2</v>
      </c>
      <c r="N18" s="6" t="str" cm="1">
        <f t="array" ref="N18">_xlfn.IFS('Data Cleaning &amp; Transf'!H18&lt;500,"LOW",AND('Data Cleaning &amp; Transf'!H18 &gt;500,'Data Cleaning &amp; Transf'!H18&lt;1000),"Medium",'Data Cleaning &amp; Transf'!H18&gt;1000,"High")</f>
        <v>LOW</v>
      </c>
    </row>
    <row r="19" spans="1:16" x14ac:dyDescent="0.3">
      <c r="A19" t="s">
        <v>28</v>
      </c>
      <c r="B19" s="2" t="s">
        <v>528</v>
      </c>
      <c r="C19" s="9" t="str">
        <f t="shared" si="0"/>
        <v>07-2023</v>
      </c>
      <c r="D19" t="s">
        <v>784</v>
      </c>
      <c r="E19" t="s">
        <v>787</v>
      </c>
      <c r="F19" t="s">
        <v>800</v>
      </c>
      <c r="G19" t="s">
        <v>819</v>
      </c>
      <c r="H19">
        <v>440.45</v>
      </c>
      <c r="I19">
        <v>9</v>
      </c>
      <c r="J19">
        <v>0.15</v>
      </c>
      <c r="K19">
        <v>-15.99</v>
      </c>
      <c r="L19" t="s">
        <v>1289</v>
      </c>
      <c r="M19" s="6">
        <f t="shared" si="1"/>
        <v>-3.630378022477012E-2</v>
      </c>
      <c r="N19" s="6" t="str" cm="1">
        <f t="array" ref="N19">_xlfn.IFS('Data Cleaning &amp; Transf'!H19&lt;500,"LOW",AND('Data Cleaning &amp; Transf'!H19 &gt;500,'Data Cleaning &amp; Transf'!H19&lt;1000),"Medium",'Data Cleaning &amp; Transf'!H19&gt;1000,"High")</f>
        <v>LOW</v>
      </c>
    </row>
    <row r="20" spans="1:16" x14ac:dyDescent="0.3">
      <c r="A20" t="s">
        <v>29</v>
      </c>
      <c r="B20" s="2" t="s">
        <v>529</v>
      </c>
      <c r="C20" s="9" t="str">
        <f t="shared" si="0"/>
        <v>07-2023</v>
      </c>
      <c r="D20" t="s">
        <v>785</v>
      </c>
      <c r="E20" t="s">
        <v>789</v>
      </c>
      <c r="F20" t="s">
        <v>798</v>
      </c>
      <c r="G20" t="s">
        <v>820</v>
      </c>
      <c r="H20">
        <v>545.57000000000005</v>
      </c>
      <c r="I20">
        <v>9</v>
      </c>
      <c r="J20">
        <v>0.1</v>
      </c>
      <c r="K20">
        <v>64.61</v>
      </c>
      <c r="L20" t="s">
        <v>1291</v>
      </c>
      <c r="M20" s="6">
        <f t="shared" si="1"/>
        <v>0.11842659970306284</v>
      </c>
      <c r="N20" s="6" t="str" cm="1">
        <f t="array" ref="N20">_xlfn.IFS('Data Cleaning &amp; Transf'!H20&lt;500,"LOW",AND('Data Cleaning &amp; Transf'!H20 &gt;500,'Data Cleaning &amp; Transf'!H20&lt;1000),"Medium",'Data Cleaning &amp; Transf'!H20&gt;1000,"High")</f>
        <v>Medium</v>
      </c>
    </row>
    <row r="21" spans="1:16" x14ac:dyDescent="0.3">
      <c r="A21" t="s">
        <v>30</v>
      </c>
      <c r="B21" s="2" t="s">
        <v>530</v>
      </c>
      <c r="C21" s="9" t="str">
        <f t="shared" si="0"/>
        <v>04-2023</v>
      </c>
      <c r="D21" t="s">
        <v>786</v>
      </c>
      <c r="E21" t="s">
        <v>789</v>
      </c>
      <c r="F21" t="s">
        <v>794</v>
      </c>
      <c r="G21" t="s">
        <v>821</v>
      </c>
      <c r="H21">
        <v>1957.63</v>
      </c>
      <c r="I21">
        <v>3</v>
      </c>
      <c r="J21">
        <v>0.2</v>
      </c>
      <c r="K21">
        <v>133.24</v>
      </c>
      <c r="L21" t="s">
        <v>1289</v>
      </c>
      <c r="M21" s="6">
        <f t="shared" si="1"/>
        <v>6.8061891164316032E-2</v>
      </c>
      <c r="N21" s="6" t="str" cm="1">
        <f t="array" ref="N21">_xlfn.IFS('Data Cleaning &amp; Transf'!H21&lt;500,"LOW",AND('Data Cleaning &amp; Transf'!H21 &gt;500,'Data Cleaning &amp; Transf'!H21&lt;1000),"Medium",'Data Cleaning &amp; Transf'!H21&gt;1000,"High")</f>
        <v>High</v>
      </c>
      <c r="O21" s="10" t="s">
        <v>1327</v>
      </c>
    </row>
    <row r="22" spans="1:16" x14ac:dyDescent="0.3">
      <c r="A22" t="s">
        <v>31</v>
      </c>
      <c r="B22" s="2" t="s">
        <v>531</v>
      </c>
      <c r="C22" s="9" t="str">
        <f t="shared" si="0"/>
        <v>10-2023</v>
      </c>
      <c r="D22" t="s">
        <v>783</v>
      </c>
      <c r="E22" t="s">
        <v>788</v>
      </c>
      <c r="F22" t="s">
        <v>796</v>
      </c>
      <c r="G22" t="s">
        <v>822</v>
      </c>
      <c r="H22">
        <v>110.63</v>
      </c>
      <c r="I22">
        <v>1</v>
      </c>
      <c r="J22">
        <v>0.2</v>
      </c>
      <c r="K22">
        <v>-8.59</v>
      </c>
      <c r="L22" t="s">
        <v>1291</v>
      </c>
      <c r="M22" s="6">
        <f t="shared" si="1"/>
        <v>-7.7646208080990695E-2</v>
      </c>
      <c r="N22" s="6" t="str" cm="1">
        <f t="array" ref="N22">_xlfn.IFS('Data Cleaning &amp; Transf'!H22&lt;500,"LOW",AND('Data Cleaning &amp; Transf'!H22 &gt;500,'Data Cleaning &amp; Transf'!H22&lt;1000),"Medium",'Data Cleaning &amp; Transf'!H22&gt;1000,"High")</f>
        <v>LOW</v>
      </c>
    </row>
    <row r="23" spans="1:16" x14ac:dyDescent="0.3">
      <c r="A23" t="s">
        <v>32</v>
      </c>
      <c r="B23" s="2" t="s">
        <v>532</v>
      </c>
      <c r="C23" s="9" t="str">
        <f t="shared" si="0"/>
        <v>06-2023</v>
      </c>
      <c r="D23" t="s">
        <v>785</v>
      </c>
      <c r="E23" t="s">
        <v>788</v>
      </c>
      <c r="F23" t="s">
        <v>793</v>
      </c>
      <c r="G23" t="s">
        <v>823</v>
      </c>
      <c r="H23">
        <v>1061.76</v>
      </c>
      <c r="I23">
        <v>10</v>
      </c>
      <c r="J23">
        <v>0.05</v>
      </c>
      <c r="K23">
        <v>33.81</v>
      </c>
      <c r="L23" t="s">
        <v>1290</v>
      </c>
      <c r="M23" s="6">
        <f t="shared" si="1"/>
        <v>3.184335443037975E-2</v>
      </c>
      <c r="N23" s="6" t="str" cm="1">
        <f t="array" ref="N23">_xlfn.IFS('Data Cleaning &amp; Transf'!H23&lt;500,"LOW",AND('Data Cleaning &amp; Transf'!H23 &gt;500,'Data Cleaning &amp; Transf'!H23&lt;1000),"Medium",'Data Cleaning &amp; Transf'!H23&gt;1000,"High")</f>
        <v>High</v>
      </c>
      <c r="O23" t="s">
        <v>1328</v>
      </c>
      <c r="P23">
        <f>_xlfn.QUARTILE.INC(H2:H501,1)</f>
        <v>535.21500000000003</v>
      </c>
    </row>
    <row r="24" spans="1:16" x14ac:dyDescent="0.3">
      <c r="A24" t="s">
        <v>33</v>
      </c>
      <c r="B24" s="2" t="s">
        <v>533</v>
      </c>
      <c r="C24" s="9" t="str">
        <f t="shared" si="0"/>
        <v>08-2023</v>
      </c>
      <c r="D24" t="s">
        <v>783</v>
      </c>
      <c r="E24" t="s">
        <v>788</v>
      </c>
      <c r="F24" t="s">
        <v>795</v>
      </c>
      <c r="G24" t="s">
        <v>824</v>
      </c>
      <c r="H24">
        <v>1293.3399999999999</v>
      </c>
      <c r="I24">
        <v>6</v>
      </c>
      <c r="J24">
        <v>0.15</v>
      </c>
      <c r="K24">
        <v>187.33</v>
      </c>
      <c r="L24" t="s">
        <v>1289</v>
      </c>
      <c r="M24" s="6">
        <f t="shared" si="1"/>
        <v>0.14484203689671704</v>
      </c>
      <c r="N24" s="6" t="str" cm="1">
        <f t="array" ref="N24">_xlfn.IFS('Data Cleaning &amp; Transf'!H24&lt;500,"LOW",AND('Data Cleaning &amp; Transf'!H24 &gt;500,'Data Cleaning &amp; Transf'!H24&lt;1000),"Medium",'Data Cleaning &amp; Transf'!H24&gt;1000,"High")</f>
        <v>High</v>
      </c>
      <c r="O24" t="s">
        <v>1329</v>
      </c>
      <c r="P24">
        <f>_xlfn.QUARTILE.INC(H2:H501,3)</f>
        <v>1441.4199999999998</v>
      </c>
    </row>
    <row r="25" spans="1:16" x14ac:dyDescent="0.3">
      <c r="A25" t="s">
        <v>34</v>
      </c>
      <c r="B25" s="2" t="s">
        <v>534</v>
      </c>
      <c r="C25" s="9" t="str">
        <f t="shared" si="0"/>
        <v>10-2023</v>
      </c>
      <c r="D25" t="s">
        <v>786</v>
      </c>
      <c r="E25" t="s">
        <v>789</v>
      </c>
      <c r="F25" t="s">
        <v>794</v>
      </c>
      <c r="G25" t="s">
        <v>825</v>
      </c>
      <c r="H25">
        <v>1215.31</v>
      </c>
      <c r="I25">
        <v>6</v>
      </c>
      <c r="J25">
        <v>0.15</v>
      </c>
      <c r="K25">
        <v>113.79</v>
      </c>
      <c r="L25" t="s">
        <v>1290</v>
      </c>
      <c r="M25" s="6">
        <f t="shared" si="1"/>
        <v>9.3630431741695538E-2</v>
      </c>
      <c r="N25" s="6" t="str" cm="1">
        <f t="array" ref="N25">_xlfn.IFS('Data Cleaning &amp; Transf'!H25&lt;500,"LOW",AND('Data Cleaning &amp; Transf'!H25 &gt;500,'Data Cleaning &amp; Transf'!H25&lt;1000),"Medium",'Data Cleaning &amp; Transf'!H25&gt;1000,"High")</f>
        <v>High</v>
      </c>
    </row>
    <row r="26" spans="1:16" x14ac:dyDescent="0.3">
      <c r="A26" t="s">
        <v>35</v>
      </c>
      <c r="B26" s="2" t="s">
        <v>535</v>
      </c>
      <c r="C26" s="9" t="str">
        <f t="shared" si="0"/>
        <v>06-2023</v>
      </c>
      <c r="D26" t="s">
        <v>783</v>
      </c>
      <c r="E26" t="s">
        <v>787</v>
      </c>
      <c r="F26" t="s">
        <v>792</v>
      </c>
      <c r="G26" t="s">
        <v>826</v>
      </c>
      <c r="H26">
        <v>531.03</v>
      </c>
      <c r="I26">
        <v>1</v>
      </c>
      <c r="J26">
        <v>0.05</v>
      </c>
      <c r="K26">
        <v>70.010000000000005</v>
      </c>
      <c r="L26" t="s">
        <v>1290</v>
      </c>
      <c r="M26" s="6">
        <f t="shared" si="1"/>
        <v>0.13183812590625768</v>
      </c>
      <c r="N26" s="6" t="str" cm="1">
        <f t="array" ref="N26">_xlfn.IFS('Data Cleaning &amp; Transf'!H26&lt;500,"LOW",AND('Data Cleaning &amp; Transf'!H26 &gt;500,'Data Cleaning &amp; Transf'!H26&lt;1000),"Medium",'Data Cleaning &amp; Transf'!H26&gt;1000,"High")</f>
        <v>Medium</v>
      </c>
      <c r="O26" t="s">
        <v>1327</v>
      </c>
      <c r="P26">
        <f>P24-P23</f>
        <v>906.20499999999981</v>
      </c>
    </row>
    <row r="27" spans="1:16" x14ac:dyDescent="0.3">
      <c r="A27" t="s">
        <v>36</v>
      </c>
      <c r="B27" s="2" t="s">
        <v>536</v>
      </c>
      <c r="C27" s="9" t="str">
        <f t="shared" si="0"/>
        <v>02-2023</v>
      </c>
      <c r="D27" t="s">
        <v>783</v>
      </c>
      <c r="E27" t="s">
        <v>788</v>
      </c>
      <c r="F27" t="s">
        <v>793</v>
      </c>
      <c r="G27" t="s">
        <v>827</v>
      </c>
      <c r="H27">
        <v>1990.61</v>
      </c>
      <c r="I27">
        <v>5</v>
      </c>
      <c r="J27">
        <v>0.15</v>
      </c>
      <c r="K27">
        <v>-89.79</v>
      </c>
      <c r="L27" t="s">
        <v>1290</v>
      </c>
      <c r="M27" s="6">
        <f t="shared" si="1"/>
        <v>-4.5106776314797981E-2</v>
      </c>
      <c r="N27" s="6" t="str" cm="1">
        <f t="array" ref="N27">_xlfn.IFS('Data Cleaning &amp; Transf'!H27&lt;500,"LOW",AND('Data Cleaning &amp; Transf'!H27 &gt;500,'Data Cleaning &amp; Transf'!H27&lt;1000),"Medium",'Data Cleaning &amp; Transf'!H27&gt;1000,"High")</f>
        <v>High</v>
      </c>
    </row>
    <row r="28" spans="1:16" x14ac:dyDescent="0.3">
      <c r="A28" t="s">
        <v>37</v>
      </c>
      <c r="B28" s="2" t="s">
        <v>537</v>
      </c>
      <c r="C28" s="9" t="str">
        <f t="shared" si="0"/>
        <v>02-2023</v>
      </c>
      <c r="D28" t="s">
        <v>784</v>
      </c>
      <c r="E28" t="s">
        <v>788</v>
      </c>
      <c r="F28" t="s">
        <v>793</v>
      </c>
      <c r="G28" t="s">
        <v>828</v>
      </c>
      <c r="H28">
        <v>1096.6500000000001</v>
      </c>
      <c r="I28">
        <v>9</v>
      </c>
      <c r="J28">
        <v>0.1</v>
      </c>
      <c r="K28">
        <v>0.96</v>
      </c>
      <c r="L28" t="s">
        <v>1290</v>
      </c>
      <c r="M28" s="6">
        <f t="shared" si="1"/>
        <v>8.7539324305840503E-4</v>
      </c>
      <c r="N28" s="6" t="str" cm="1">
        <f t="array" ref="N28">_xlfn.IFS('Data Cleaning &amp; Transf'!H28&lt;500,"LOW",AND('Data Cleaning &amp; Transf'!H28 &gt;500,'Data Cleaning &amp; Transf'!H28&lt;1000),"Medium",'Data Cleaning &amp; Transf'!H28&gt;1000,"High")</f>
        <v>High</v>
      </c>
    </row>
    <row r="29" spans="1:16" x14ac:dyDescent="0.3">
      <c r="A29" t="s">
        <v>38</v>
      </c>
      <c r="B29" s="2" t="s">
        <v>538</v>
      </c>
      <c r="C29" s="9" t="str">
        <f t="shared" si="0"/>
        <v>12-2023</v>
      </c>
      <c r="D29" t="s">
        <v>786</v>
      </c>
      <c r="E29" t="s">
        <v>789</v>
      </c>
      <c r="F29" t="s">
        <v>797</v>
      </c>
      <c r="G29" t="s">
        <v>829</v>
      </c>
      <c r="H29">
        <v>517.61</v>
      </c>
      <c r="I29">
        <v>10</v>
      </c>
      <c r="J29">
        <v>0.2</v>
      </c>
      <c r="K29">
        <v>-72.709999999999994</v>
      </c>
      <c r="L29" t="s">
        <v>1289</v>
      </c>
      <c r="M29" s="6">
        <f t="shared" si="1"/>
        <v>-0.14047255655802629</v>
      </c>
      <c r="N29" s="6" t="str" cm="1">
        <f t="array" ref="N29">_xlfn.IFS('Data Cleaning &amp; Transf'!H29&lt;500,"LOW",AND('Data Cleaning &amp; Transf'!H29 &gt;500,'Data Cleaning &amp; Transf'!H29&lt;1000),"Medium",'Data Cleaning &amp; Transf'!H29&gt;1000,"High")</f>
        <v>Medium</v>
      </c>
      <c r="O29" t="s">
        <v>1330</v>
      </c>
      <c r="P29">
        <f>P23 - 1.5*P26</f>
        <v>-824.09249999999963</v>
      </c>
    </row>
    <row r="30" spans="1:16" x14ac:dyDescent="0.3">
      <c r="A30" t="s">
        <v>39</v>
      </c>
      <c r="B30" s="2" t="s">
        <v>539</v>
      </c>
      <c r="C30" s="9" t="str">
        <f t="shared" si="0"/>
        <v>03-2023</v>
      </c>
      <c r="D30" t="s">
        <v>786</v>
      </c>
      <c r="E30" t="s">
        <v>788</v>
      </c>
      <c r="F30" t="s">
        <v>791</v>
      </c>
      <c r="G30" t="s">
        <v>830</v>
      </c>
      <c r="H30">
        <v>152.88</v>
      </c>
      <c r="I30">
        <v>8</v>
      </c>
      <c r="J30">
        <v>0.2</v>
      </c>
      <c r="K30">
        <v>-19.48</v>
      </c>
      <c r="L30" t="s">
        <v>1289</v>
      </c>
      <c r="M30" s="6">
        <f t="shared" si="1"/>
        <v>-0.12742019884877029</v>
      </c>
      <c r="N30" s="6" t="str" cm="1">
        <f t="array" ref="N30">_xlfn.IFS('Data Cleaning &amp; Transf'!H30&lt;500,"LOW",AND('Data Cleaning &amp; Transf'!H30 &gt;500,'Data Cleaning &amp; Transf'!H30&lt;1000),"Medium",'Data Cleaning &amp; Transf'!H30&gt;1000,"High")</f>
        <v>LOW</v>
      </c>
      <c r="O30" t="s">
        <v>1331</v>
      </c>
      <c r="P30">
        <f>P24 - 1.5*P26</f>
        <v>82.112500000000182</v>
      </c>
    </row>
    <row r="31" spans="1:16" x14ac:dyDescent="0.3">
      <c r="A31" t="s">
        <v>40</v>
      </c>
      <c r="B31" s="2" t="s">
        <v>540</v>
      </c>
      <c r="C31" s="9" t="str">
        <f t="shared" si="0"/>
        <v>08-2023</v>
      </c>
      <c r="D31" t="s">
        <v>786</v>
      </c>
      <c r="E31" t="s">
        <v>787</v>
      </c>
      <c r="F31" t="s">
        <v>800</v>
      </c>
      <c r="G31" t="s">
        <v>831</v>
      </c>
      <c r="H31">
        <v>1742.66</v>
      </c>
      <c r="I31">
        <v>2</v>
      </c>
      <c r="J31">
        <v>0</v>
      </c>
      <c r="K31">
        <v>370.73</v>
      </c>
      <c r="L31" t="s">
        <v>1289</v>
      </c>
      <c r="M31" s="6">
        <f t="shared" si="1"/>
        <v>0.21273799823258696</v>
      </c>
      <c r="N31" s="6" t="str" cm="1">
        <f t="array" ref="N31">_xlfn.IFS('Data Cleaning &amp; Transf'!H31&lt;500,"LOW",AND('Data Cleaning &amp; Transf'!H31 &gt;500,'Data Cleaning &amp; Transf'!H31&lt;1000),"Medium",'Data Cleaning &amp; Transf'!H31&gt;1000,"High")</f>
        <v>High</v>
      </c>
    </row>
    <row r="32" spans="1:16" x14ac:dyDescent="0.3">
      <c r="A32" t="s">
        <v>41</v>
      </c>
      <c r="B32" s="2" t="s">
        <v>541</v>
      </c>
      <c r="C32" s="9" t="str">
        <f t="shared" si="0"/>
        <v>01-2023</v>
      </c>
      <c r="D32" t="s">
        <v>784</v>
      </c>
      <c r="E32" t="s">
        <v>787</v>
      </c>
      <c r="F32" t="s">
        <v>801</v>
      </c>
      <c r="G32" t="s">
        <v>832</v>
      </c>
      <c r="H32">
        <v>567.23</v>
      </c>
      <c r="I32">
        <v>10</v>
      </c>
      <c r="J32">
        <v>0.1</v>
      </c>
      <c r="K32">
        <v>65.239999999999995</v>
      </c>
      <c r="L32" t="s">
        <v>1289</v>
      </c>
      <c r="M32" s="6">
        <f t="shared" si="1"/>
        <v>0.11501507325070957</v>
      </c>
      <c r="N32" s="6" t="str" cm="1">
        <f t="array" ref="N32">_xlfn.IFS('Data Cleaning &amp; Transf'!H32&lt;500,"LOW",AND('Data Cleaning &amp; Transf'!H32 &gt;500,'Data Cleaning &amp; Transf'!H32&lt;1000),"Medium",'Data Cleaning &amp; Transf'!H32&gt;1000,"High")</f>
        <v>Medium</v>
      </c>
    </row>
    <row r="33" spans="1:14" x14ac:dyDescent="0.3">
      <c r="A33" t="s">
        <v>42</v>
      </c>
      <c r="B33" s="2" t="s">
        <v>542</v>
      </c>
      <c r="C33" s="9" t="str">
        <f t="shared" si="0"/>
        <v>06-2023</v>
      </c>
      <c r="D33" t="s">
        <v>784</v>
      </c>
      <c r="E33" t="s">
        <v>787</v>
      </c>
      <c r="F33" t="s">
        <v>790</v>
      </c>
      <c r="G33" t="s">
        <v>833</v>
      </c>
      <c r="H33">
        <v>611.9</v>
      </c>
      <c r="I33">
        <v>10</v>
      </c>
      <c r="J33">
        <v>0.05</v>
      </c>
      <c r="K33">
        <v>136.63999999999999</v>
      </c>
      <c r="L33" t="s">
        <v>1291</v>
      </c>
      <c r="M33" s="6">
        <f t="shared" si="1"/>
        <v>0.22330446151331915</v>
      </c>
      <c r="N33" s="6" t="str" cm="1">
        <f t="array" ref="N33">_xlfn.IFS('Data Cleaning &amp; Transf'!H33&lt;500,"LOW",AND('Data Cleaning &amp; Transf'!H33 &gt;500,'Data Cleaning &amp; Transf'!H33&lt;1000),"Medium",'Data Cleaning &amp; Transf'!H33&gt;1000,"High")</f>
        <v>Medium</v>
      </c>
    </row>
    <row r="34" spans="1:14" x14ac:dyDescent="0.3">
      <c r="A34" t="s">
        <v>43</v>
      </c>
      <c r="B34" s="2" t="s">
        <v>543</v>
      </c>
      <c r="C34" s="9" t="str">
        <f t="shared" si="0"/>
        <v>04-2023</v>
      </c>
      <c r="D34" t="s">
        <v>785</v>
      </c>
      <c r="E34" t="s">
        <v>788</v>
      </c>
      <c r="F34" t="s">
        <v>796</v>
      </c>
      <c r="G34" t="s">
        <v>834</v>
      </c>
      <c r="H34">
        <v>1839.96</v>
      </c>
      <c r="I34">
        <v>3</v>
      </c>
      <c r="J34">
        <v>0.2</v>
      </c>
      <c r="K34">
        <v>-123.42</v>
      </c>
      <c r="L34" t="s">
        <v>1289</v>
      </c>
      <c r="M34" s="6">
        <f t="shared" si="1"/>
        <v>-6.707754516402531E-2</v>
      </c>
      <c r="N34" s="6" t="str" cm="1">
        <f t="array" ref="N34">_xlfn.IFS('Data Cleaning &amp; Transf'!H34&lt;500,"LOW",AND('Data Cleaning &amp; Transf'!H34 &gt;500,'Data Cleaning &amp; Transf'!H34&lt;1000),"Medium",'Data Cleaning &amp; Transf'!H34&gt;1000,"High")</f>
        <v>High</v>
      </c>
    </row>
    <row r="35" spans="1:14" x14ac:dyDescent="0.3">
      <c r="A35" t="s">
        <v>44</v>
      </c>
      <c r="B35" s="2" t="s">
        <v>544</v>
      </c>
      <c r="C35" s="9" t="str">
        <f t="shared" si="0"/>
        <v>11-2023</v>
      </c>
      <c r="D35" t="s">
        <v>783</v>
      </c>
      <c r="E35" t="s">
        <v>789</v>
      </c>
      <c r="F35" t="s">
        <v>794</v>
      </c>
      <c r="G35" t="s">
        <v>835</v>
      </c>
      <c r="H35">
        <v>1795.83</v>
      </c>
      <c r="I35">
        <v>3</v>
      </c>
      <c r="J35">
        <v>0.15</v>
      </c>
      <c r="K35">
        <v>-174.78</v>
      </c>
      <c r="L35" t="s">
        <v>1290</v>
      </c>
      <c r="M35" s="6">
        <f t="shared" si="1"/>
        <v>-9.7325470673727474E-2</v>
      </c>
      <c r="N35" s="6" t="str" cm="1">
        <f t="array" ref="N35">_xlfn.IFS('Data Cleaning &amp; Transf'!H35&lt;500,"LOW",AND('Data Cleaning &amp; Transf'!H35 &gt;500,'Data Cleaning &amp; Transf'!H35&lt;1000),"Medium",'Data Cleaning &amp; Transf'!H35&gt;1000,"High")</f>
        <v>High</v>
      </c>
    </row>
    <row r="36" spans="1:14" x14ac:dyDescent="0.3">
      <c r="A36" t="s">
        <v>45</v>
      </c>
      <c r="B36" s="2" t="s">
        <v>545</v>
      </c>
      <c r="C36" s="9" t="str">
        <f t="shared" si="0"/>
        <v>03-2023</v>
      </c>
      <c r="D36" t="s">
        <v>784</v>
      </c>
      <c r="E36" t="s">
        <v>787</v>
      </c>
      <c r="F36" t="s">
        <v>792</v>
      </c>
      <c r="G36" t="s">
        <v>836</v>
      </c>
      <c r="H36">
        <v>1893.59</v>
      </c>
      <c r="I36">
        <v>8</v>
      </c>
      <c r="J36">
        <v>0.15</v>
      </c>
      <c r="K36">
        <v>-160.47</v>
      </c>
      <c r="L36" t="s">
        <v>1289</v>
      </c>
      <c r="M36" s="6">
        <f t="shared" si="1"/>
        <v>-8.474379353503135E-2</v>
      </c>
      <c r="N36" s="6" t="str" cm="1">
        <f t="array" ref="N36">_xlfn.IFS('Data Cleaning &amp; Transf'!H36&lt;500,"LOW",AND('Data Cleaning &amp; Transf'!H36 &gt;500,'Data Cleaning &amp; Transf'!H36&lt;1000),"Medium",'Data Cleaning &amp; Transf'!H36&gt;1000,"High")</f>
        <v>High</v>
      </c>
    </row>
    <row r="37" spans="1:14" x14ac:dyDescent="0.3">
      <c r="A37" t="s">
        <v>46</v>
      </c>
      <c r="B37" s="2" t="s">
        <v>546</v>
      </c>
      <c r="C37" s="9" t="str">
        <f t="shared" si="0"/>
        <v>08-2023</v>
      </c>
      <c r="D37" t="s">
        <v>785</v>
      </c>
      <c r="E37" t="s">
        <v>787</v>
      </c>
      <c r="F37" t="s">
        <v>800</v>
      </c>
      <c r="G37" t="s">
        <v>837</v>
      </c>
      <c r="H37">
        <v>847.33</v>
      </c>
      <c r="I37">
        <v>3</v>
      </c>
      <c r="J37">
        <v>0.1</v>
      </c>
      <c r="K37">
        <v>-26.89</v>
      </c>
      <c r="L37" t="s">
        <v>1290</v>
      </c>
      <c r="M37" s="6">
        <f t="shared" si="1"/>
        <v>-3.1734979287880757E-2</v>
      </c>
      <c r="N37" s="6" t="str" cm="1">
        <f t="array" ref="N37">_xlfn.IFS('Data Cleaning &amp; Transf'!H37&lt;500,"LOW",AND('Data Cleaning &amp; Transf'!H37 &gt;500,'Data Cleaning &amp; Transf'!H37&lt;1000),"Medium",'Data Cleaning &amp; Transf'!H37&gt;1000,"High")</f>
        <v>Medium</v>
      </c>
    </row>
    <row r="38" spans="1:14" x14ac:dyDescent="0.3">
      <c r="A38" t="s">
        <v>47</v>
      </c>
      <c r="B38" s="2" t="s">
        <v>547</v>
      </c>
      <c r="C38" s="9" t="str">
        <f t="shared" si="0"/>
        <v>06-2023</v>
      </c>
      <c r="D38" t="s">
        <v>785</v>
      </c>
      <c r="E38" t="s">
        <v>788</v>
      </c>
      <c r="F38" t="s">
        <v>796</v>
      </c>
      <c r="G38" t="s">
        <v>838</v>
      </c>
      <c r="H38">
        <v>1777.11</v>
      </c>
      <c r="I38">
        <v>9</v>
      </c>
      <c r="J38">
        <v>0.15</v>
      </c>
      <c r="K38">
        <v>-1.36</v>
      </c>
      <c r="L38" t="s">
        <v>1290</v>
      </c>
      <c r="M38" s="6">
        <f t="shared" si="1"/>
        <v>-7.6528746110257671E-4</v>
      </c>
      <c r="N38" s="6" t="str" cm="1">
        <f t="array" ref="N38">_xlfn.IFS('Data Cleaning &amp; Transf'!H38&lt;500,"LOW",AND('Data Cleaning &amp; Transf'!H38 &gt;500,'Data Cleaning &amp; Transf'!H38&lt;1000),"Medium",'Data Cleaning &amp; Transf'!H38&gt;1000,"High")</f>
        <v>High</v>
      </c>
    </row>
    <row r="39" spans="1:14" x14ac:dyDescent="0.3">
      <c r="A39" t="s">
        <v>48</v>
      </c>
      <c r="B39" s="2" t="s">
        <v>548</v>
      </c>
      <c r="C39" s="9" t="str">
        <f t="shared" si="0"/>
        <v>03-2023</v>
      </c>
      <c r="D39" t="s">
        <v>784</v>
      </c>
      <c r="E39" t="s">
        <v>789</v>
      </c>
      <c r="F39" t="s">
        <v>798</v>
      </c>
      <c r="G39" t="s">
        <v>839</v>
      </c>
      <c r="H39">
        <v>1436.59</v>
      </c>
      <c r="I39">
        <v>3</v>
      </c>
      <c r="J39">
        <v>0</v>
      </c>
      <c r="K39">
        <v>316.05</v>
      </c>
      <c r="L39" t="s">
        <v>1290</v>
      </c>
      <c r="M39" s="6">
        <f t="shared" si="1"/>
        <v>0.2200001392185662</v>
      </c>
      <c r="N39" s="6" t="str" cm="1">
        <f t="array" ref="N39">_xlfn.IFS('Data Cleaning &amp; Transf'!H39&lt;500,"LOW",AND('Data Cleaning &amp; Transf'!H39 &gt;500,'Data Cleaning &amp; Transf'!H39&lt;1000),"Medium",'Data Cleaning &amp; Transf'!H39&gt;1000,"High")</f>
        <v>High</v>
      </c>
    </row>
    <row r="40" spans="1:14" x14ac:dyDescent="0.3">
      <c r="A40" t="s">
        <v>49</v>
      </c>
      <c r="B40" s="2" t="s">
        <v>549</v>
      </c>
      <c r="C40" s="9" t="str">
        <f t="shared" si="0"/>
        <v>07-2023</v>
      </c>
      <c r="D40" t="s">
        <v>785</v>
      </c>
      <c r="E40" t="s">
        <v>787</v>
      </c>
      <c r="F40" t="s">
        <v>790</v>
      </c>
      <c r="G40" t="s">
        <v>840</v>
      </c>
      <c r="H40">
        <v>819.42</v>
      </c>
      <c r="I40">
        <v>8</v>
      </c>
      <c r="J40">
        <v>0.15</v>
      </c>
      <c r="K40">
        <v>118.82</v>
      </c>
      <c r="L40" t="s">
        <v>1291</v>
      </c>
      <c r="M40" s="6">
        <f t="shared" si="1"/>
        <v>0.14500500353908863</v>
      </c>
      <c r="N40" s="6" t="str" cm="1">
        <f t="array" ref="N40">_xlfn.IFS('Data Cleaning &amp; Transf'!H40&lt;500,"LOW",AND('Data Cleaning &amp; Transf'!H40 &gt;500,'Data Cleaning &amp; Transf'!H40&lt;1000),"Medium",'Data Cleaning &amp; Transf'!H40&gt;1000,"High")</f>
        <v>Medium</v>
      </c>
    </row>
    <row r="41" spans="1:14" x14ac:dyDescent="0.3">
      <c r="A41" t="s">
        <v>50</v>
      </c>
      <c r="B41" s="2" t="s">
        <v>550</v>
      </c>
      <c r="C41" s="9" t="str">
        <f t="shared" si="0"/>
        <v>12-2023</v>
      </c>
      <c r="D41" t="s">
        <v>786</v>
      </c>
      <c r="E41" t="s">
        <v>788</v>
      </c>
      <c r="F41" t="s">
        <v>796</v>
      </c>
      <c r="G41" t="s">
        <v>841</v>
      </c>
      <c r="H41">
        <v>1411.03</v>
      </c>
      <c r="I41">
        <v>1</v>
      </c>
      <c r="J41">
        <v>0.2</v>
      </c>
      <c r="K41">
        <v>-200.38</v>
      </c>
      <c r="L41" t="s">
        <v>1291</v>
      </c>
      <c r="M41" s="6">
        <f t="shared" si="1"/>
        <v>-0.14200973756759247</v>
      </c>
      <c r="N41" s="6" t="str" cm="1">
        <f t="array" ref="N41">_xlfn.IFS('Data Cleaning &amp; Transf'!H41&lt;500,"LOW",AND('Data Cleaning &amp; Transf'!H41 &gt;500,'Data Cleaning &amp; Transf'!H41&lt;1000),"Medium",'Data Cleaning &amp; Transf'!H41&gt;1000,"High")</f>
        <v>High</v>
      </c>
    </row>
    <row r="42" spans="1:14" x14ac:dyDescent="0.3">
      <c r="A42" t="s">
        <v>51</v>
      </c>
      <c r="B42" s="2" t="s">
        <v>551</v>
      </c>
      <c r="C42" s="9" t="str">
        <f t="shared" si="0"/>
        <v>08-2023</v>
      </c>
      <c r="D42" t="s">
        <v>784</v>
      </c>
      <c r="E42" t="s">
        <v>788</v>
      </c>
      <c r="F42" t="s">
        <v>791</v>
      </c>
      <c r="G42" t="s">
        <v>842</v>
      </c>
      <c r="H42">
        <v>1212.1500000000001</v>
      </c>
      <c r="I42">
        <v>5</v>
      </c>
      <c r="J42">
        <v>0.1</v>
      </c>
      <c r="K42">
        <v>43.72</v>
      </c>
      <c r="L42" t="s">
        <v>1291</v>
      </c>
      <c r="M42" s="6">
        <f t="shared" si="1"/>
        <v>3.6068143381594683E-2</v>
      </c>
      <c r="N42" s="6" t="str" cm="1">
        <f t="array" ref="N42">_xlfn.IFS('Data Cleaning &amp; Transf'!H42&lt;500,"LOW",AND('Data Cleaning &amp; Transf'!H42 &gt;500,'Data Cleaning &amp; Transf'!H42&lt;1000),"Medium",'Data Cleaning &amp; Transf'!H42&gt;1000,"High")</f>
        <v>High</v>
      </c>
    </row>
    <row r="43" spans="1:14" x14ac:dyDescent="0.3">
      <c r="A43" t="s">
        <v>52</v>
      </c>
      <c r="B43" s="2" t="s">
        <v>552</v>
      </c>
      <c r="C43" s="9" t="str">
        <f t="shared" si="0"/>
        <v>06-2023</v>
      </c>
      <c r="D43" t="s">
        <v>784</v>
      </c>
      <c r="E43" t="s">
        <v>788</v>
      </c>
      <c r="F43" t="s">
        <v>796</v>
      </c>
      <c r="G43" t="s">
        <v>843</v>
      </c>
      <c r="H43">
        <v>1395.22</v>
      </c>
      <c r="I43">
        <v>3</v>
      </c>
      <c r="J43">
        <v>0.05</v>
      </c>
      <c r="K43">
        <v>344.47</v>
      </c>
      <c r="L43" t="s">
        <v>1291</v>
      </c>
      <c r="M43" s="6">
        <f t="shared" si="1"/>
        <v>0.24689296311692782</v>
      </c>
      <c r="N43" s="6" t="str" cm="1">
        <f t="array" ref="N43">_xlfn.IFS('Data Cleaning &amp; Transf'!H43&lt;500,"LOW",AND('Data Cleaning &amp; Transf'!H43 &gt;500,'Data Cleaning &amp; Transf'!H43&lt;1000),"Medium",'Data Cleaning &amp; Transf'!H43&gt;1000,"High")</f>
        <v>High</v>
      </c>
    </row>
    <row r="44" spans="1:14" x14ac:dyDescent="0.3">
      <c r="A44" t="s">
        <v>53</v>
      </c>
      <c r="B44" s="2" t="s">
        <v>553</v>
      </c>
      <c r="C44" s="9" t="str">
        <f t="shared" si="0"/>
        <v>12-2023</v>
      </c>
      <c r="D44" t="s">
        <v>785</v>
      </c>
      <c r="E44" t="s">
        <v>789</v>
      </c>
      <c r="F44" t="s">
        <v>797</v>
      </c>
      <c r="G44" t="s">
        <v>844</v>
      </c>
      <c r="H44">
        <v>1012.86</v>
      </c>
      <c r="I44">
        <v>2</v>
      </c>
      <c r="J44">
        <v>0.1</v>
      </c>
      <c r="K44">
        <v>138.37</v>
      </c>
      <c r="L44" t="s">
        <v>1290</v>
      </c>
      <c r="M44" s="6">
        <f t="shared" si="1"/>
        <v>0.13661315482890035</v>
      </c>
      <c r="N44" s="6" t="str" cm="1">
        <f t="array" ref="N44">_xlfn.IFS('Data Cleaning &amp; Transf'!H44&lt;500,"LOW",AND('Data Cleaning &amp; Transf'!H44 &gt;500,'Data Cleaning &amp; Transf'!H44&lt;1000),"Medium",'Data Cleaning &amp; Transf'!H44&gt;1000,"High")</f>
        <v>High</v>
      </c>
    </row>
    <row r="45" spans="1:14" x14ac:dyDescent="0.3">
      <c r="A45" t="s">
        <v>54</v>
      </c>
      <c r="B45" s="2" t="s">
        <v>529</v>
      </c>
      <c r="C45" s="9" t="str">
        <f t="shared" si="0"/>
        <v>07-2023</v>
      </c>
      <c r="D45" t="s">
        <v>784</v>
      </c>
      <c r="E45" t="s">
        <v>788</v>
      </c>
      <c r="F45" t="s">
        <v>791</v>
      </c>
      <c r="G45" t="s">
        <v>845</v>
      </c>
      <c r="H45">
        <v>1861.21</v>
      </c>
      <c r="I45">
        <v>3</v>
      </c>
      <c r="J45">
        <v>0.2</v>
      </c>
      <c r="K45">
        <v>132.72999999999999</v>
      </c>
      <c r="L45" t="s">
        <v>1291</v>
      </c>
      <c r="M45" s="6">
        <f t="shared" si="1"/>
        <v>7.1313822728225174E-2</v>
      </c>
      <c r="N45" s="6" t="str" cm="1">
        <f t="array" ref="N45">_xlfn.IFS('Data Cleaning &amp; Transf'!H45&lt;500,"LOW",AND('Data Cleaning &amp; Transf'!H45 &gt;500,'Data Cleaning &amp; Transf'!H45&lt;1000),"Medium",'Data Cleaning &amp; Transf'!H45&gt;1000,"High")</f>
        <v>High</v>
      </c>
    </row>
    <row r="46" spans="1:14" x14ac:dyDescent="0.3">
      <c r="A46" t="s">
        <v>55</v>
      </c>
      <c r="B46" s="2" t="s">
        <v>554</v>
      </c>
      <c r="C46" s="9" t="str">
        <f t="shared" si="0"/>
        <v>03-2023</v>
      </c>
      <c r="D46" t="s">
        <v>786</v>
      </c>
      <c r="E46" t="s">
        <v>789</v>
      </c>
      <c r="F46" t="s">
        <v>794</v>
      </c>
      <c r="G46" t="s">
        <v>846</v>
      </c>
      <c r="H46">
        <v>1221.42</v>
      </c>
      <c r="I46">
        <v>8</v>
      </c>
      <c r="J46">
        <v>0.15</v>
      </c>
      <c r="K46">
        <v>-51.22</v>
      </c>
      <c r="L46" t="s">
        <v>1291</v>
      </c>
      <c r="M46" s="6">
        <f t="shared" si="1"/>
        <v>-4.1934797203255221E-2</v>
      </c>
      <c r="N46" s="6" t="str" cm="1">
        <f t="array" ref="N46">_xlfn.IFS('Data Cleaning &amp; Transf'!H46&lt;500,"LOW",AND('Data Cleaning &amp; Transf'!H46 &gt;500,'Data Cleaning &amp; Transf'!H46&lt;1000),"Medium",'Data Cleaning &amp; Transf'!H46&gt;1000,"High")</f>
        <v>High</v>
      </c>
    </row>
    <row r="47" spans="1:14" x14ac:dyDescent="0.3">
      <c r="A47" t="s">
        <v>56</v>
      </c>
      <c r="B47" s="2" t="s">
        <v>555</v>
      </c>
      <c r="C47" s="9" t="str">
        <f t="shared" si="0"/>
        <v>07-2023</v>
      </c>
      <c r="D47" t="s">
        <v>785</v>
      </c>
      <c r="E47" t="s">
        <v>787</v>
      </c>
      <c r="F47" t="s">
        <v>801</v>
      </c>
      <c r="G47" t="s">
        <v>847</v>
      </c>
      <c r="H47">
        <v>774.07</v>
      </c>
      <c r="I47">
        <v>3</v>
      </c>
      <c r="J47">
        <v>0.15</v>
      </c>
      <c r="K47">
        <v>2.19</v>
      </c>
      <c r="L47" t="s">
        <v>1290</v>
      </c>
      <c r="M47" s="6">
        <f t="shared" si="1"/>
        <v>2.8292014934049891E-3</v>
      </c>
      <c r="N47" s="6" t="str" cm="1">
        <f t="array" ref="N47">_xlfn.IFS('Data Cleaning &amp; Transf'!H47&lt;500,"LOW",AND('Data Cleaning &amp; Transf'!H47 &gt;500,'Data Cleaning &amp; Transf'!H47&lt;1000),"Medium",'Data Cleaning &amp; Transf'!H47&gt;1000,"High")</f>
        <v>Medium</v>
      </c>
    </row>
    <row r="48" spans="1:14" x14ac:dyDescent="0.3">
      <c r="A48" t="s">
        <v>57</v>
      </c>
      <c r="B48" s="2" t="s">
        <v>556</v>
      </c>
      <c r="C48" s="9" t="str">
        <f t="shared" si="0"/>
        <v>10-2023</v>
      </c>
      <c r="D48" t="s">
        <v>785</v>
      </c>
      <c r="E48" t="s">
        <v>789</v>
      </c>
      <c r="F48" t="s">
        <v>794</v>
      </c>
      <c r="G48" t="s">
        <v>848</v>
      </c>
      <c r="H48">
        <v>1490.62</v>
      </c>
      <c r="I48">
        <v>9</v>
      </c>
      <c r="J48">
        <v>0.2</v>
      </c>
      <c r="K48">
        <v>-101.89</v>
      </c>
      <c r="L48" t="s">
        <v>1290</v>
      </c>
      <c r="M48" s="6">
        <f t="shared" si="1"/>
        <v>-6.8354107686734389E-2</v>
      </c>
      <c r="N48" s="6" t="str" cm="1">
        <f t="array" ref="N48">_xlfn.IFS('Data Cleaning &amp; Transf'!H48&lt;500,"LOW",AND('Data Cleaning &amp; Transf'!H48 &gt;500,'Data Cleaning &amp; Transf'!H48&lt;1000),"Medium",'Data Cleaning &amp; Transf'!H48&gt;1000,"High")</f>
        <v>High</v>
      </c>
    </row>
    <row r="49" spans="1:14" x14ac:dyDescent="0.3">
      <c r="A49" t="s">
        <v>58</v>
      </c>
      <c r="B49" s="2" t="s">
        <v>557</v>
      </c>
      <c r="C49" s="9" t="str">
        <f t="shared" si="0"/>
        <v>11-2023</v>
      </c>
      <c r="D49" t="s">
        <v>786</v>
      </c>
      <c r="E49" t="s">
        <v>787</v>
      </c>
      <c r="F49" t="s">
        <v>790</v>
      </c>
      <c r="G49" t="s">
        <v>849</v>
      </c>
      <c r="H49">
        <v>188.89</v>
      </c>
      <c r="I49">
        <v>5</v>
      </c>
      <c r="J49">
        <v>0.05</v>
      </c>
      <c r="K49">
        <v>3.51</v>
      </c>
      <c r="L49" t="s">
        <v>1290</v>
      </c>
      <c r="M49" s="6">
        <f t="shared" si="1"/>
        <v>1.8582243633860976E-2</v>
      </c>
      <c r="N49" s="6" t="str" cm="1">
        <f t="array" ref="N49">_xlfn.IFS('Data Cleaning &amp; Transf'!H49&lt;500,"LOW",AND('Data Cleaning &amp; Transf'!H49 &gt;500,'Data Cleaning &amp; Transf'!H49&lt;1000),"Medium",'Data Cleaning &amp; Transf'!H49&gt;1000,"High")</f>
        <v>LOW</v>
      </c>
    </row>
    <row r="50" spans="1:14" x14ac:dyDescent="0.3">
      <c r="A50" t="s">
        <v>59</v>
      </c>
      <c r="B50" s="2" t="s">
        <v>558</v>
      </c>
      <c r="C50" s="9" t="str">
        <f t="shared" si="0"/>
        <v>04-2023</v>
      </c>
      <c r="D50" t="s">
        <v>783</v>
      </c>
      <c r="E50" t="s">
        <v>789</v>
      </c>
      <c r="F50" t="s">
        <v>798</v>
      </c>
      <c r="G50" t="s">
        <v>850</v>
      </c>
      <c r="H50">
        <v>1577.39</v>
      </c>
      <c r="I50">
        <v>8</v>
      </c>
      <c r="J50">
        <v>0</v>
      </c>
      <c r="K50">
        <v>330.46</v>
      </c>
      <c r="L50" t="s">
        <v>1290</v>
      </c>
      <c r="M50" s="6">
        <f t="shared" si="1"/>
        <v>0.20949796816259769</v>
      </c>
      <c r="N50" s="6" t="str" cm="1">
        <f t="array" ref="N50">_xlfn.IFS('Data Cleaning &amp; Transf'!H50&lt;500,"LOW",AND('Data Cleaning &amp; Transf'!H50 &gt;500,'Data Cleaning &amp; Transf'!H50&lt;1000),"Medium",'Data Cleaning &amp; Transf'!H50&gt;1000,"High")</f>
        <v>High</v>
      </c>
    </row>
    <row r="51" spans="1:14" x14ac:dyDescent="0.3">
      <c r="A51" t="s">
        <v>60</v>
      </c>
      <c r="B51" s="2" t="s">
        <v>559</v>
      </c>
      <c r="C51" s="9" t="str">
        <f t="shared" si="0"/>
        <v>05-2023</v>
      </c>
      <c r="D51" t="s">
        <v>783</v>
      </c>
      <c r="E51" t="s">
        <v>788</v>
      </c>
      <c r="F51" t="s">
        <v>795</v>
      </c>
      <c r="G51" t="s">
        <v>851</v>
      </c>
      <c r="H51">
        <v>1303.2</v>
      </c>
      <c r="I51">
        <v>2</v>
      </c>
      <c r="J51">
        <v>0</v>
      </c>
      <c r="K51">
        <v>350.3</v>
      </c>
      <c r="L51" t="s">
        <v>1291</v>
      </c>
      <c r="M51" s="6">
        <f t="shared" si="1"/>
        <v>0.26879987722529158</v>
      </c>
      <c r="N51" s="6" t="str" cm="1">
        <f t="array" ref="N51">_xlfn.IFS('Data Cleaning &amp; Transf'!H51&lt;500,"LOW",AND('Data Cleaning &amp; Transf'!H51 &gt;500,'Data Cleaning &amp; Transf'!H51&lt;1000),"Medium",'Data Cleaning &amp; Transf'!H51&gt;1000,"High")</f>
        <v>High</v>
      </c>
    </row>
    <row r="52" spans="1:14" x14ac:dyDescent="0.3">
      <c r="A52" t="s">
        <v>61</v>
      </c>
      <c r="B52" s="2" t="s">
        <v>560</v>
      </c>
      <c r="C52" s="9" t="str">
        <f t="shared" si="0"/>
        <v>06-2023</v>
      </c>
      <c r="D52" t="s">
        <v>785</v>
      </c>
      <c r="E52" t="s">
        <v>787</v>
      </c>
      <c r="F52" t="s">
        <v>800</v>
      </c>
      <c r="G52" t="s">
        <v>852</v>
      </c>
      <c r="H52">
        <v>1206.1600000000001</v>
      </c>
      <c r="I52">
        <v>4</v>
      </c>
      <c r="J52">
        <v>0.15</v>
      </c>
      <c r="K52">
        <v>-3.77</v>
      </c>
      <c r="L52" t="s">
        <v>1291</v>
      </c>
      <c r="M52" s="6">
        <f t="shared" si="1"/>
        <v>-3.1256218080519997E-3</v>
      </c>
      <c r="N52" s="6" t="str" cm="1">
        <f t="array" ref="N52">_xlfn.IFS('Data Cleaning &amp; Transf'!H52&lt;500,"LOW",AND('Data Cleaning &amp; Transf'!H52 &gt;500,'Data Cleaning &amp; Transf'!H52&lt;1000),"Medium",'Data Cleaning &amp; Transf'!H52&gt;1000,"High")</f>
        <v>High</v>
      </c>
    </row>
    <row r="53" spans="1:14" x14ac:dyDescent="0.3">
      <c r="A53" t="s">
        <v>62</v>
      </c>
      <c r="B53" s="2" t="s">
        <v>517</v>
      </c>
      <c r="C53" s="9" t="str">
        <f t="shared" si="0"/>
        <v>07-2023</v>
      </c>
      <c r="D53" t="s">
        <v>783</v>
      </c>
      <c r="E53" t="s">
        <v>787</v>
      </c>
      <c r="F53" t="s">
        <v>801</v>
      </c>
      <c r="G53" t="s">
        <v>853</v>
      </c>
      <c r="H53">
        <v>1204.53</v>
      </c>
      <c r="I53">
        <v>3</v>
      </c>
      <c r="J53">
        <v>0.1</v>
      </c>
      <c r="K53">
        <v>-8.4700000000000006</v>
      </c>
      <c r="L53" t="s">
        <v>1290</v>
      </c>
      <c r="M53" s="6">
        <f t="shared" si="1"/>
        <v>-7.0317883323786044E-3</v>
      </c>
      <c r="N53" s="6" t="str" cm="1">
        <f t="array" ref="N53">_xlfn.IFS('Data Cleaning &amp; Transf'!H53&lt;500,"LOW",AND('Data Cleaning &amp; Transf'!H53 &gt;500,'Data Cleaning &amp; Transf'!H53&lt;1000),"Medium",'Data Cleaning &amp; Transf'!H53&gt;1000,"High")</f>
        <v>High</v>
      </c>
    </row>
    <row r="54" spans="1:14" x14ac:dyDescent="0.3">
      <c r="A54" t="s">
        <v>63</v>
      </c>
      <c r="B54" s="2" t="s">
        <v>561</v>
      </c>
      <c r="C54" s="9" t="str">
        <f t="shared" si="0"/>
        <v>10-2023</v>
      </c>
      <c r="D54" t="s">
        <v>786</v>
      </c>
      <c r="E54" t="s">
        <v>787</v>
      </c>
      <c r="F54" t="s">
        <v>792</v>
      </c>
      <c r="G54" t="s">
        <v>854</v>
      </c>
      <c r="H54">
        <v>1995.65</v>
      </c>
      <c r="I54">
        <v>3</v>
      </c>
      <c r="J54">
        <v>0.2</v>
      </c>
      <c r="K54">
        <v>82.63</v>
      </c>
      <c r="L54" t="s">
        <v>1289</v>
      </c>
      <c r="M54" s="6">
        <f t="shared" si="1"/>
        <v>4.1405055996793019E-2</v>
      </c>
      <c r="N54" s="6" t="str" cm="1">
        <f t="array" ref="N54">_xlfn.IFS('Data Cleaning &amp; Transf'!H54&lt;500,"LOW",AND('Data Cleaning &amp; Transf'!H54 &gt;500,'Data Cleaning &amp; Transf'!H54&lt;1000),"Medium",'Data Cleaning &amp; Transf'!H54&gt;1000,"High")</f>
        <v>High</v>
      </c>
    </row>
    <row r="55" spans="1:14" x14ac:dyDescent="0.3">
      <c r="A55" t="s">
        <v>64</v>
      </c>
      <c r="B55" s="2" t="s">
        <v>541</v>
      </c>
      <c r="C55" s="9" t="str">
        <f t="shared" si="0"/>
        <v>01-2023</v>
      </c>
      <c r="D55" t="s">
        <v>783</v>
      </c>
      <c r="E55" t="s">
        <v>787</v>
      </c>
      <c r="F55" t="s">
        <v>801</v>
      </c>
      <c r="G55" t="s">
        <v>855</v>
      </c>
      <c r="H55">
        <v>388.53</v>
      </c>
      <c r="I55">
        <v>7</v>
      </c>
      <c r="J55">
        <v>0</v>
      </c>
      <c r="K55">
        <v>26.23</v>
      </c>
      <c r="L55" t="s">
        <v>1291</v>
      </c>
      <c r="M55" s="6">
        <f t="shared" si="1"/>
        <v>6.751087432115925E-2</v>
      </c>
      <c r="N55" s="6" t="str" cm="1">
        <f t="array" ref="N55">_xlfn.IFS('Data Cleaning &amp; Transf'!H55&lt;500,"LOW",AND('Data Cleaning &amp; Transf'!H55 &gt;500,'Data Cleaning &amp; Transf'!H55&lt;1000),"Medium",'Data Cleaning &amp; Transf'!H55&gt;1000,"High")</f>
        <v>LOW</v>
      </c>
    </row>
    <row r="56" spans="1:14" x14ac:dyDescent="0.3">
      <c r="A56" t="s">
        <v>65</v>
      </c>
      <c r="B56" s="2" t="s">
        <v>562</v>
      </c>
      <c r="C56" s="9" t="str">
        <f t="shared" si="0"/>
        <v>05-2023</v>
      </c>
      <c r="D56" t="s">
        <v>786</v>
      </c>
      <c r="E56" t="s">
        <v>788</v>
      </c>
      <c r="F56" t="s">
        <v>796</v>
      </c>
      <c r="G56" t="s">
        <v>856</v>
      </c>
      <c r="H56">
        <v>63</v>
      </c>
      <c r="I56">
        <v>3</v>
      </c>
      <c r="J56">
        <v>0.2</v>
      </c>
      <c r="K56">
        <v>-7.05</v>
      </c>
      <c r="L56" t="s">
        <v>1289</v>
      </c>
      <c r="M56" s="6">
        <f t="shared" si="1"/>
        <v>-0.1119047619047619</v>
      </c>
      <c r="N56" s="6" t="str" cm="1">
        <f t="array" ref="N56">_xlfn.IFS('Data Cleaning &amp; Transf'!H56&lt;500,"LOW",AND('Data Cleaning &amp; Transf'!H56 &gt;500,'Data Cleaning &amp; Transf'!H56&lt;1000),"Medium",'Data Cleaning &amp; Transf'!H56&gt;1000,"High")</f>
        <v>LOW</v>
      </c>
    </row>
    <row r="57" spans="1:14" x14ac:dyDescent="0.3">
      <c r="A57" t="s">
        <v>66</v>
      </c>
      <c r="B57" s="2" t="s">
        <v>563</v>
      </c>
      <c r="C57" s="9" t="str">
        <f t="shared" si="0"/>
        <v>12-2023</v>
      </c>
      <c r="D57" t="s">
        <v>784</v>
      </c>
      <c r="E57" t="s">
        <v>788</v>
      </c>
      <c r="F57" t="s">
        <v>795</v>
      </c>
      <c r="G57" t="s">
        <v>857</v>
      </c>
      <c r="H57">
        <v>962.45</v>
      </c>
      <c r="I57">
        <v>8</v>
      </c>
      <c r="J57">
        <v>0</v>
      </c>
      <c r="K57">
        <v>279.27999999999997</v>
      </c>
      <c r="L57" t="s">
        <v>1291</v>
      </c>
      <c r="M57" s="6">
        <f t="shared" si="1"/>
        <v>0.29017611304483343</v>
      </c>
      <c r="N57" s="6" t="str" cm="1">
        <f t="array" ref="N57">_xlfn.IFS('Data Cleaning &amp; Transf'!H57&lt;500,"LOW",AND('Data Cleaning &amp; Transf'!H57 &gt;500,'Data Cleaning &amp; Transf'!H57&lt;1000),"Medium",'Data Cleaning &amp; Transf'!H57&gt;1000,"High")</f>
        <v>Medium</v>
      </c>
    </row>
    <row r="58" spans="1:14" x14ac:dyDescent="0.3">
      <c r="A58" t="s">
        <v>67</v>
      </c>
      <c r="B58" s="2" t="s">
        <v>564</v>
      </c>
      <c r="C58" s="9" t="str">
        <f t="shared" si="0"/>
        <v>08-2023</v>
      </c>
      <c r="D58" t="s">
        <v>785</v>
      </c>
      <c r="E58" t="s">
        <v>787</v>
      </c>
      <c r="F58" t="s">
        <v>800</v>
      </c>
      <c r="G58" t="s">
        <v>858</v>
      </c>
      <c r="H58">
        <v>371.3</v>
      </c>
      <c r="I58">
        <v>8</v>
      </c>
      <c r="J58">
        <v>0</v>
      </c>
      <c r="K58">
        <v>46.93</v>
      </c>
      <c r="L58" t="s">
        <v>1291</v>
      </c>
      <c r="M58" s="6">
        <f t="shared" si="1"/>
        <v>0.12639375168327496</v>
      </c>
      <c r="N58" s="6" t="str" cm="1">
        <f t="array" ref="N58">_xlfn.IFS('Data Cleaning &amp; Transf'!H58&lt;500,"LOW",AND('Data Cleaning &amp; Transf'!H58 &gt;500,'Data Cleaning &amp; Transf'!H58&lt;1000),"Medium",'Data Cleaning &amp; Transf'!H58&gt;1000,"High")</f>
        <v>LOW</v>
      </c>
    </row>
    <row r="59" spans="1:14" x14ac:dyDescent="0.3">
      <c r="A59" t="s">
        <v>68</v>
      </c>
      <c r="B59" s="2" t="s">
        <v>565</v>
      </c>
      <c r="C59" s="9" t="str">
        <f t="shared" si="0"/>
        <v>11-2023</v>
      </c>
      <c r="D59" t="s">
        <v>785</v>
      </c>
      <c r="E59" t="s">
        <v>787</v>
      </c>
      <c r="F59" t="s">
        <v>801</v>
      </c>
      <c r="G59" t="s">
        <v>859</v>
      </c>
      <c r="H59">
        <v>1529.21</v>
      </c>
      <c r="I59">
        <v>4</v>
      </c>
      <c r="J59">
        <v>0.2</v>
      </c>
      <c r="K59">
        <v>-201.17</v>
      </c>
      <c r="L59" t="s">
        <v>1290</v>
      </c>
      <c r="M59" s="6">
        <f t="shared" si="1"/>
        <v>-0.13155158545915863</v>
      </c>
      <c r="N59" s="6" t="str" cm="1">
        <f t="array" ref="N59">_xlfn.IFS('Data Cleaning &amp; Transf'!H59&lt;500,"LOW",AND('Data Cleaning &amp; Transf'!H59 &gt;500,'Data Cleaning &amp; Transf'!H59&lt;1000),"Medium",'Data Cleaning &amp; Transf'!H59&gt;1000,"High")</f>
        <v>High</v>
      </c>
    </row>
    <row r="60" spans="1:14" x14ac:dyDescent="0.3">
      <c r="A60" t="s">
        <v>69</v>
      </c>
      <c r="B60" s="2" t="s">
        <v>566</v>
      </c>
      <c r="C60" s="9" t="str">
        <f t="shared" si="0"/>
        <v>09-2023</v>
      </c>
      <c r="D60" t="s">
        <v>786</v>
      </c>
      <c r="E60" t="s">
        <v>788</v>
      </c>
      <c r="F60" t="s">
        <v>796</v>
      </c>
      <c r="G60" t="s">
        <v>860</v>
      </c>
      <c r="H60">
        <v>723.81</v>
      </c>
      <c r="I60">
        <v>4</v>
      </c>
      <c r="J60">
        <v>0</v>
      </c>
      <c r="K60">
        <v>140.35</v>
      </c>
      <c r="L60" t="s">
        <v>1291</v>
      </c>
      <c r="M60" s="6">
        <f t="shared" si="1"/>
        <v>0.19390447769442257</v>
      </c>
      <c r="N60" s="6" t="str" cm="1">
        <f t="array" ref="N60">_xlfn.IFS('Data Cleaning &amp; Transf'!H60&lt;500,"LOW",AND('Data Cleaning &amp; Transf'!H60 &gt;500,'Data Cleaning &amp; Transf'!H60&lt;1000),"Medium",'Data Cleaning &amp; Transf'!H60&gt;1000,"High")</f>
        <v>Medium</v>
      </c>
    </row>
    <row r="61" spans="1:14" x14ac:dyDescent="0.3">
      <c r="A61" t="s">
        <v>70</v>
      </c>
      <c r="B61" s="2" t="s">
        <v>567</v>
      </c>
      <c r="C61" s="9" t="str">
        <f t="shared" si="0"/>
        <v>08-2023</v>
      </c>
      <c r="D61" t="s">
        <v>784</v>
      </c>
      <c r="E61" t="s">
        <v>789</v>
      </c>
      <c r="F61" t="s">
        <v>797</v>
      </c>
      <c r="G61" t="s">
        <v>861</v>
      </c>
      <c r="H61">
        <v>1077.53</v>
      </c>
      <c r="I61">
        <v>7</v>
      </c>
      <c r="J61">
        <v>0.05</v>
      </c>
      <c r="K61">
        <v>228.8</v>
      </c>
      <c r="L61" t="s">
        <v>1291</v>
      </c>
      <c r="M61" s="6">
        <f t="shared" si="1"/>
        <v>0.21233747552272328</v>
      </c>
      <c r="N61" s="6" t="str" cm="1">
        <f t="array" ref="N61">_xlfn.IFS('Data Cleaning &amp; Transf'!H61&lt;500,"LOW",AND('Data Cleaning &amp; Transf'!H61 &gt;500,'Data Cleaning &amp; Transf'!H61&lt;1000),"Medium",'Data Cleaning &amp; Transf'!H61&gt;1000,"High")</f>
        <v>High</v>
      </c>
    </row>
    <row r="62" spans="1:14" x14ac:dyDescent="0.3">
      <c r="A62" t="s">
        <v>71</v>
      </c>
      <c r="B62" s="2" t="s">
        <v>568</v>
      </c>
      <c r="C62" s="9" t="str">
        <f t="shared" si="0"/>
        <v>03-2023</v>
      </c>
      <c r="D62" t="s">
        <v>784</v>
      </c>
      <c r="E62" t="s">
        <v>787</v>
      </c>
      <c r="F62" t="s">
        <v>790</v>
      </c>
      <c r="G62" t="s">
        <v>862</v>
      </c>
      <c r="H62">
        <v>1810.9</v>
      </c>
      <c r="I62">
        <v>9</v>
      </c>
      <c r="J62">
        <v>0.1</v>
      </c>
      <c r="K62">
        <v>90.22</v>
      </c>
      <c r="L62" t="s">
        <v>1290</v>
      </c>
      <c r="M62" s="6">
        <f t="shared" si="1"/>
        <v>4.9820531227566398E-2</v>
      </c>
      <c r="N62" s="6" t="str" cm="1">
        <f t="array" ref="N62">_xlfn.IFS('Data Cleaning &amp; Transf'!H62&lt;500,"LOW",AND('Data Cleaning &amp; Transf'!H62 &gt;500,'Data Cleaning &amp; Transf'!H62&lt;1000),"Medium",'Data Cleaning &amp; Transf'!H62&gt;1000,"High")</f>
        <v>High</v>
      </c>
    </row>
    <row r="63" spans="1:14" x14ac:dyDescent="0.3">
      <c r="A63" t="s">
        <v>72</v>
      </c>
      <c r="B63" s="2" t="s">
        <v>569</v>
      </c>
      <c r="C63" s="9" t="str">
        <f t="shared" si="0"/>
        <v>06-2023</v>
      </c>
      <c r="D63" t="s">
        <v>784</v>
      </c>
      <c r="E63" t="s">
        <v>789</v>
      </c>
      <c r="F63" t="s">
        <v>797</v>
      </c>
      <c r="G63" t="s">
        <v>863</v>
      </c>
      <c r="H63">
        <v>1685.28</v>
      </c>
      <c r="I63">
        <v>5</v>
      </c>
      <c r="J63">
        <v>0.15</v>
      </c>
      <c r="K63">
        <v>35.86</v>
      </c>
      <c r="L63" t="s">
        <v>1291</v>
      </c>
      <c r="M63" s="6">
        <f t="shared" si="1"/>
        <v>2.1278363239343016E-2</v>
      </c>
      <c r="N63" s="6" t="str" cm="1">
        <f t="array" ref="N63">_xlfn.IFS('Data Cleaning &amp; Transf'!H63&lt;500,"LOW",AND('Data Cleaning &amp; Transf'!H63 &gt;500,'Data Cleaning &amp; Transf'!H63&lt;1000),"Medium",'Data Cleaning &amp; Transf'!H63&gt;1000,"High")</f>
        <v>High</v>
      </c>
    </row>
    <row r="64" spans="1:14" x14ac:dyDescent="0.3">
      <c r="A64" t="s">
        <v>73</v>
      </c>
      <c r="B64" s="2" t="s">
        <v>570</v>
      </c>
      <c r="C64" s="9" t="str">
        <f t="shared" si="0"/>
        <v>02-2023</v>
      </c>
      <c r="D64" t="s">
        <v>783</v>
      </c>
      <c r="E64" t="s">
        <v>789</v>
      </c>
      <c r="F64" t="s">
        <v>798</v>
      </c>
      <c r="G64" t="s">
        <v>864</v>
      </c>
      <c r="H64">
        <v>1816.17</v>
      </c>
      <c r="I64">
        <v>2</v>
      </c>
      <c r="J64">
        <v>0.1</v>
      </c>
      <c r="K64">
        <v>339.21</v>
      </c>
      <c r="L64" t="s">
        <v>1289</v>
      </c>
      <c r="M64" s="6">
        <f t="shared" si="1"/>
        <v>0.18677216339880076</v>
      </c>
      <c r="N64" s="6" t="str" cm="1">
        <f t="array" ref="N64">_xlfn.IFS('Data Cleaning &amp; Transf'!H64&lt;500,"LOW",AND('Data Cleaning &amp; Transf'!H64 &gt;500,'Data Cleaning &amp; Transf'!H64&lt;1000),"Medium",'Data Cleaning &amp; Transf'!H64&gt;1000,"High")</f>
        <v>High</v>
      </c>
    </row>
    <row r="65" spans="1:14" x14ac:dyDescent="0.3">
      <c r="A65" t="s">
        <v>74</v>
      </c>
      <c r="B65" s="2" t="s">
        <v>571</v>
      </c>
      <c r="C65" s="9" t="str">
        <f t="shared" si="0"/>
        <v>10-2023</v>
      </c>
      <c r="D65" t="s">
        <v>783</v>
      </c>
      <c r="E65" t="s">
        <v>789</v>
      </c>
      <c r="F65" t="s">
        <v>798</v>
      </c>
      <c r="G65" t="s">
        <v>865</v>
      </c>
      <c r="H65">
        <v>1753.49</v>
      </c>
      <c r="I65">
        <v>1</v>
      </c>
      <c r="J65">
        <v>0.15</v>
      </c>
      <c r="K65">
        <v>-9.1</v>
      </c>
      <c r="L65" t="s">
        <v>1290</v>
      </c>
      <c r="M65" s="6">
        <f t="shared" si="1"/>
        <v>-5.1896503544360106E-3</v>
      </c>
      <c r="N65" s="6" t="str" cm="1">
        <f t="array" ref="N65">_xlfn.IFS('Data Cleaning &amp; Transf'!H65&lt;500,"LOW",AND('Data Cleaning &amp; Transf'!H65 &gt;500,'Data Cleaning &amp; Transf'!H65&lt;1000),"Medium",'Data Cleaning &amp; Transf'!H65&gt;1000,"High")</f>
        <v>High</v>
      </c>
    </row>
    <row r="66" spans="1:14" x14ac:dyDescent="0.3">
      <c r="A66" t="s">
        <v>75</v>
      </c>
      <c r="B66" s="2" t="s">
        <v>572</v>
      </c>
      <c r="C66" s="9" t="str">
        <f t="shared" si="0"/>
        <v>12-2023</v>
      </c>
      <c r="D66" t="s">
        <v>783</v>
      </c>
      <c r="E66" t="s">
        <v>788</v>
      </c>
      <c r="F66" t="s">
        <v>796</v>
      </c>
      <c r="G66" t="s">
        <v>866</v>
      </c>
      <c r="H66">
        <v>727.24</v>
      </c>
      <c r="I66">
        <v>9</v>
      </c>
      <c r="J66">
        <v>0</v>
      </c>
      <c r="K66">
        <v>123.08</v>
      </c>
      <c r="L66" t="s">
        <v>1290</v>
      </c>
      <c r="M66" s="6">
        <f t="shared" si="1"/>
        <v>0.1692426159177163</v>
      </c>
      <c r="N66" s="6" t="str" cm="1">
        <f t="array" ref="N66">_xlfn.IFS('Data Cleaning &amp; Transf'!H66&lt;500,"LOW",AND('Data Cleaning &amp; Transf'!H66 &gt;500,'Data Cleaning &amp; Transf'!H66&lt;1000),"Medium",'Data Cleaning &amp; Transf'!H66&gt;1000,"High")</f>
        <v>Medium</v>
      </c>
    </row>
    <row r="67" spans="1:14" x14ac:dyDescent="0.3">
      <c r="A67" t="s">
        <v>76</v>
      </c>
      <c r="B67" s="2" t="s">
        <v>573</v>
      </c>
      <c r="C67" s="9" t="str">
        <f t="shared" ref="C67:C130" si="2">TEXT(B67,"MM-YYYY")</f>
        <v>10-2023</v>
      </c>
      <c r="D67" t="s">
        <v>783</v>
      </c>
      <c r="E67" t="s">
        <v>788</v>
      </c>
      <c r="F67" t="s">
        <v>796</v>
      </c>
      <c r="G67" t="s">
        <v>867</v>
      </c>
      <c r="H67">
        <v>1623.98</v>
      </c>
      <c r="I67">
        <v>10</v>
      </c>
      <c r="J67">
        <v>0.1</v>
      </c>
      <c r="K67">
        <v>63.09</v>
      </c>
      <c r="L67" t="s">
        <v>1291</v>
      </c>
      <c r="M67" s="6">
        <f t="shared" ref="M67:M130" si="3">K67/H67</f>
        <v>3.8849000603455711E-2</v>
      </c>
      <c r="N67" s="6" t="str" cm="1">
        <f t="array" ref="N67">_xlfn.IFS('Data Cleaning &amp; Transf'!H67&lt;500,"LOW",AND('Data Cleaning &amp; Transf'!H67 &gt;500,'Data Cleaning &amp; Transf'!H67&lt;1000),"Medium",'Data Cleaning &amp; Transf'!H67&gt;1000,"High")</f>
        <v>High</v>
      </c>
    </row>
    <row r="68" spans="1:14" x14ac:dyDescent="0.3">
      <c r="A68" t="s">
        <v>77</v>
      </c>
      <c r="B68" s="2" t="s">
        <v>574</v>
      </c>
      <c r="C68" s="9" t="str">
        <f t="shared" si="2"/>
        <v>03-2023</v>
      </c>
      <c r="D68" t="s">
        <v>786</v>
      </c>
      <c r="E68" t="s">
        <v>787</v>
      </c>
      <c r="F68" t="s">
        <v>801</v>
      </c>
      <c r="G68" t="s">
        <v>868</v>
      </c>
      <c r="H68">
        <v>1266.4000000000001</v>
      </c>
      <c r="I68">
        <v>5</v>
      </c>
      <c r="J68">
        <v>0.2</v>
      </c>
      <c r="K68">
        <v>32.57</v>
      </c>
      <c r="L68" t="s">
        <v>1289</v>
      </c>
      <c r="M68" s="6">
        <f t="shared" si="3"/>
        <v>2.5718572331017056E-2</v>
      </c>
      <c r="N68" s="6" t="str" cm="1">
        <f t="array" ref="N68">_xlfn.IFS('Data Cleaning &amp; Transf'!H68&lt;500,"LOW",AND('Data Cleaning &amp; Transf'!H68 &gt;500,'Data Cleaning &amp; Transf'!H68&lt;1000),"Medium",'Data Cleaning &amp; Transf'!H68&gt;1000,"High")</f>
        <v>High</v>
      </c>
    </row>
    <row r="69" spans="1:14" x14ac:dyDescent="0.3">
      <c r="A69" t="s">
        <v>78</v>
      </c>
      <c r="B69" s="2" t="s">
        <v>575</v>
      </c>
      <c r="C69" s="9" t="str">
        <f t="shared" si="2"/>
        <v>10-2023</v>
      </c>
      <c r="D69" t="s">
        <v>786</v>
      </c>
      <c r="E69" t="s">
        <v>789</v>
      </c>
      <c r="F69" t="s">
        <v>799</v>
      </c>
      <c r="G69" t="s">
        <v>869</v>
      </c>
      <c r="H69">
        <v>71.569999999999993</v>
      </c>
      <c r="I69">
        <v>5</v>
      </c>
      <c r="J69">
        <v>0.05</v>
      </c>
      <c r="K69">
        <v>12.65</v>
      </c>
      <c r="L69" t="s">
        <v>1289</v>
      </c>
      <c r="M69" s="6">
        <f t="shared" si="3"/>
        <v>0.17675003493083696</v>
      </c>
      <c r="N69" s="6" t="str" cm="1">
        <f t="array" ref="N69">_xlfn.IFS('Data Cleaning &amp; Transf'!H69&lt;500,"LOW",AND('Data Cleaning &amp; Transf'!H69 &gt;500,'Data Cleaning &amp; Transf'!H69&lt;1000),"Medium",'Data Cleaning &amp; Transf'!H69&gt;1000,"High")</f>
        <v>LOW</v>
      </c>
    </row>
    <row r="70" spans="1:14" x14ac:dyDescent="0.3">
      <c r="A70" t="s">
        <v>79</v>
      </c>
      <c r="B70" s="2" t="s">
        <v>576</v>
      </c>
      <c r="C70" s="9" t="str">
        <f t="shared" si="2"/>
        <v>09-2023</v>
      </c>
      <c r="D70" t="s">
        <v>784</v>
      </c>
      <c r="E70" t="s">
        <v>787</v>
      </c>
      <c r="F70" t="s">
        <v>790</v>
      </c>
      <c r="G70" t="s">
        <v>870</v>
      </c>
      <c r="H70">
        <v>1857.93</v>
      </c>
      <c r="I70">
        <v>3</v>
      </c>
      <c r="J70">
        <v>0.05</v>
      </c>
      <c r="K70">
        <v>328.66</v>
      </c>
      <c r="L70" t="s">
        <v>1291</v>
      </c>
      <c r="M70" s="6">
        <f t="shared" si="3"/>
        <v>0.1768957926294317</v>
      </c>
      <c r="N70" s="6" t="str" cm="1">
        <f t="array" ref="N70">_xlfn.IFS('Data Cleaning &amp; Transf'!H70&lt;500,"LOW",AND('Data Cleaning &amp; Transf'!H70 &gt;500,'Data Cleaning &amp; Transf'!H70&lt;1000),"Medium",'Data Cleaning &amp; Transf'!H70&gt;1000,"High")</f>
        <v>High</v>
      </c>
    </row>
    <row r="71" spans="1:14" x14ac:dyDescent="0.3">
      <c r="A71" t="s">
        <v>80</v>
      </c>
      <c r="B71" s="2" t="s">
        <v>577</v>
      </c>
      <c r="C71" s="9" t="str">
        <f t="shared" si="2"/>
        <v>12-2023</v>
      </c>
      <c r="D71" t="s">
        <v>784</v>
      </c>
      <c r="E71" t="s">
        <v>789</v>
      </c>
      <c r="F71" t="s">
        <v>799</v>
      </c>
      <c r="G71" t="s">
        <v>871</v>
      </c>
      <c r="H71">
        <v>162.04</v>
      </c>
      <c r="I71">
        <v>10</v>
      </c>
      <c r="J71">
        <v>0</v>
      </c>
      <c r="K71">
        <v>31.64</v>
      </c>
      <c r="L71" t="s">
        <v>1289</v>
      </c>
      <c r="M71" s="6">
        <f t="shared" si="3"/>
        <v>0.19526042952357445</v>
      </c>
      <c r="N71" s="6" t="str" cm="1">
        <f t="array" ref="N71">_xlfn.IFS('Data Cleaning &amp; Transf'!H71&lt;500,"LOW",AND('Data Cleaning &amp; Transf'!H71 &gt;500,'Data Cleaning &amp; Transf'!H71&lt;1000),"Medium",'Data Cleaning &amp; Transf'!H71&gt;1000,"High")</f>
        <v>LOW</v>
      </c>
    </row>
    <row r="72" spans="1:14" x14ac:dyDescent="0.3">
      <c r="A72" t="s">
        <v>81</v>
      </c>
      <c r="B72" s="2" t="s">
        <v>578</v>
      </c>
      <c r="C72" s="9" t="str">
        <f t="shared" si="2"/>
        <v>03-2023</v>
      </c>
      <c r="D72" t="s">
        <v>785</v>
      </c>
      <c r="E72" t="s">
        <v>789</v>
      </c>
      <c r="F72" t="s">
        <v>794</v>
      </c>
      <c r="G72" t="s">
        <v>872</v>
      </c>
      <c r="H72">
        <v>1685.85</v>
      </c>
      <c r="I72">
        <v>5</v>
      </c>
      <c r="J72">
        <v>0.1</v>
      </c>
      <c r="K72">
        <v>220.66</v>
      </c>
      <c r="L72" t="s">
        <v>1289</v>
      </c>
      <c r="M72" s="6">
        <f t="shared" si="3"/>
        <v>0.13088946228905302</v>
      </c>
      <c r="N72" s="6" t="str" cm="1">
        <f t="array" ref="N72">_xlfn.IFS('Data Cleaning &amp; Transf'!H72&lt;500,"LOW",AND('Data Cleaning &amp; Transf'!H72 &gt;500,'Data Cleaning &amp; Transf'!H72&lt;1000),"Medium",'Data Cleaning &amp; Transf'!H72&gt;1000,"High")</f>
        <v>High</v>
      </c>
    </row>
    <row r="73" spans="1:14" x14ac:dyDescent="0.3">
      <c r="A73" t="s">
        <v>82</v>
      </c>
      <c r="B73" s="2" t="s">
        <v>579</v>
      </c>
      <c r="C73" s="9" t="str">
        <f t="shared" si="2"/>
        <v>08-2023</v>
      </c>
      <c r="D73" t="s">
        <v>786</v>
      </c>
      <c r="E73" t="s">
        <v>788</v>
      </c>
      <c r="F73" t="s">
        <v>796</v>
      </c>
      <c r="G73" t="s">
        <v>873</v>
      </c>
      <c r="H73">
        <v>333.13</v>
      </c>
      <c r="I73">
        <v>2</v>
      </c>
      <c r="J73">
        <v>0</v>
      </c>
      <c r="K73">
        <v>37.75</v>
      </c>
      <c r="L73" t="s">
        <v>1291</v>
      </c>
      <c r="M73" s="6">
        <f t="shared" si="3"/>
        <v>0.11331912466604629</v>
      </c>
      <c r="N73" s="6" t="str" cm="1">
        <f t="array" ref="N73">_xlfn.IFS('Data Cleaning &amp; Transf'!H73&lt;500,"LOW",AND('Data Cleaning &amp; Transf'!H73 &gt;500,'Data Cleaning &amp; Transf'!H73&lt;1000),"Medium",'Data Cleaning &amp; Transf'!H73&gt;1000,"High")</f>
        <v>LOW</v>
      </c>
    </row>
    <row r="74" spans="1:14" x14ac:dyDescent="0.3">
      <c r="A74" t="s">
        <v>83</v>
      </c>
      <c r="B74" s="2" t="s">
        <v>580</v>
      </c>
      <c r="C74" s="9" t="str">
        <f t="shared" si="2"/>
        <v>11-2023</v>
      </c>
      <c r="D74" t="s">
        <v>784</v>
      </c>
      <c r="E74" t="s">
        <v>789</v>
      </c>
      <c r="F74" t="s">
        <v>799</v>
      </c>
      <c r="G74" t="s">
        <v>874</v>
      </c>
      <c r="H74">
        <v>1585.03</v>
      </c>
      <c r="I74">
        <v>2</v>
      </c>
      <c r="J74">
        <v>0.05</v>
      </c>
      <c r="K74">
        <v>358.16</v>
      </c>
      <c r="L74" t="s">
        <v>1291</v>
      </c>
      <c r="M74" s="6">
        <f t="shared" si="3"/>
        <v>0.22596417733418298</v>
      </c>
      <c r="N74" s="6" t="str" cm="1">
        <f t="array" ref="N74">_xlfn.IFS('Data Cleaning &amp; Transf'!H74&lt;500,"LOW",AND('Data Cleaning &amp; Transf'!H74 &gt;500,'Data Cleaning &amp; Transf'!H74&lt;1000),"Medium",'Data Cleaning &amp; Transf'!H74&gt;1000,"High")</f>
        <v>High</v>
      </c>
    </row>
    <row r="75" spans="1:14" x14ac:dyDescent="0.3">
      <c r="A75" t="s">
        <v>84</v>
      </c>
      <c r="B75" s="2" t="s">
        <v>581</v>
      </c>
      <c r="C75" s="9" t="str">
        <f t="shared" si="2"/>
        <v>05-2023</v>
      </c>
      <c r="D75" t="s">
        <v>785</v>
      </c>
      <c r="E75" t="s">
        <v>788</v>
      </c>
      <c r="F75" t="s">
        <v>791</v>
      </c>
      <c r="G75" t="s">
        <v>875</v>
      </c>
      <c r="H75">
        <v>1491.57</v>
      </c>
      <c r="I75">
        <v>3</v>
      </c>
      <c r="J75">
        <v>0.1</v>
      </c>
      <c r="K75">
        <v>174.89</v>
      </c>
      <c r="L75" t="s">
        <v>1290</v>
      </c>
      <c r="M75" s="6">
        <f t="shared" si="3"/>
        <v>0.11725229120993315</v>
      </c>
      <c r="N75" s="6" t="str" cm="1">
        <f t="array" ref="N75">_xlfn.IFS('Data Cleaning &amp; Transf'!H75&lt;500,"LOW",AND('Data Cleaning &amp; Transf'!H75 &gt;500,'Data Cleaning &amp; Transf'!H75&lt;1000),"Medium",'Data Cleaning &amp; Transf'!H75&gt;1000,"High")</f>
        <v>High</v>
      </c>
    </row>
    <row r="76" spans="1:14" x14ac:dyDescent="0.3">
      <c r="A76" t="s">
        <v>85</v>
      </c>
      <c r="B76" s="2" t="s">
        <v>582</v>
      </c>
      <c r="C76" s="9" t="str">
        <f t="shared" si="2"/>
        <v>09-2023</v>
      </c>
      <c r="D76" t="s">
        <v>785</v>
      </c>
      <c r="E76" t="s">
        <v>789</v>
      </c>
      <c r="F76" t="s">
        <v>798</v>
      </c>
      <c r="G76" t="s">
        <v>876</v>
      </c>
      <c r="H76">
        <v>830.3</v>
      </c>
      <c r="I76">
        <v>5</v>
      </c>
      <c r="J76">
        <v>0.1</v>
      </c>
      <c r="K76">
        <v>-38.93</v>
      </c>
      <c r="L76" t="s">
        <v>1290</v>
      </c>
      <c r="M76" s="6">
        <f t="shared" si="3"/>
        <v>-4.6886667469589305E-2</v>
      </c>
      <c r="N76" s="6" t="str" cm="1">
        <f t="array" ref="N76">_xlfn.IFS('Data Cleaning &amp; Transf'!H76&lt;500,"LOW",AND('Data Cleaning &amp; Transf'!H76 &gt;500,'Data Cleaning &amp; Transf'!H76&lt;1000),"Medium",'Data Cleaning &amp; Transf'!H76&gt;1000,"High")</f>
        <v>Medium</v>
      </c>
    </row>
    <row r="77" spans="1:14" x14ac:dyDescent="0.3">
      <c r="A77" t="s">
        <v>86</v>
      </c>
      <c r="B77" s="2" t="s">
        <v>583</v>
      </c>
      <c r="C77" s="9" t="str">
        <f t="shared" si="2"/>
        <v>04-2023</v>
      </c>
      <c r="D77" t="s">
        <v>783</v>
      </c>
      <c r="E77" t="s">
        <v>789</v>
      </c>
      <c r="F77" t="s">
        <v>798</v>
      </c>
      <c r="G77" t="s">
        <v>877</v>
      </c>
      <c r="H77">
        <v>683.45</v>
      </c>
      <c r="I77">
        <v>5</v>
      </c>
      <c r="J77">
        <v>0</v>
      </c>
      <c r="K77">
        <v>150.41999999999999</v>
      </c>
      <c r="L77" t="s">
        <v>1290</v>
      </c>
      <c r="M77" s="6">
        <f t="shared" si="3"/>
        <v>0.22008925305435653</v>
      </c>
      <c r="N77" s="6" t="str" cm="1">
        <f t="array" ref="N77">_xlfn.IFS('Data Cleaning &amp; Transf'!H77&lt;500,"LOW",AND('Data Cleaning &amp; Transf'!H77 &gt;500,'Data Cleaning &amp; Transf'!H77&lt;1000),"Medium",'Data Cleaning &amp; Transf'!H77&gt;1000,"High")</f>
        <v>Medium</v>
      </c>
    </row>
    <row r="78" spans="1:14" x14ac:dyDescent="0.3">
      <c r="A78" t="s">
        <v>87</v>
      </c>
      <c r="B78" s="2" t="s">
        <v>584</v>
      </c>
      <c r="C78" s="9" t="str">
        <f t="shared" si="2"/>
        <v>02-2023</v>
      </c>
      <c r="D78" t="s">
        <v>783</v>
      </c>
      <c r="E78" t="s">
        <v>787</v>
      </c>
      <c r="F78" t="s">
        <v>801</v>
      </c>
      <c r="G78" t="s">
        <v>878</v>
      </c>
      <c r="H78">
        <v>1580.16</v>
      </c>
      <c r="I78">
        <v>3</v>
      </c>
      <c r="J78">
        <v>0.1</v>
      </c>
      <c r="K78">
        <v>71.62</v>
      </c>
      <c r="L78" t="s">
        <v>1290</v>
      </c>
      <c r="M78" s="6">
        <f t="shared" si="3"/>
        <v>4.5324524098825439E-2</v>
      </c>
      <c r="N78" s="6" t="str" cm="1">
        <f t="array" ref="N78">_xlfn.IFS('Data Cleaning &amp; Transf'!H78&lt;500,"LOW",AND('Data Cleaning &amp; Transf'!H78 &gt;500,'Data Cleaning &amp; Transf'!H78&lt;1000),"Medium",'Data Cleaning &amp; Transf'!H78&gt;1000,"High")</f>
        <v>High</v>
      </c>
    </row>
    <row r="79" spans="1:14" x14ac:dyDescent="0.3">
      <c r="A79" t="s">
        <v>88</v>
      </c>
      <c r="B79" s="2" t="s">
        <v>548</v>
      </c>
      <c r="C79" s="9" t="str">
        <f t="shared" si="2"/>
        <v>03-2023</v>
      </c>
      <c r="D79" t="s">
        <v>784</v>
      </c>
      <c r="E79" t="s">
        <v>789</v>
      </c>
      <c r="F79" t="s">
        <v>794</v>
      </c>
      <c r="G79" t="s">
        <v>879</v>
      </c>
      <c r="H79">
        <v>437.48</v>
      </c>
      <c r="I79">
        <v>8</v>
      </c>
      <c r="J79">
        <v>0.15</v>
      </c>
      <c r="K79">
        <v>-15.09</v>
      </c>
      <c r="L79" t="s">
        <v>1289</v>
      </c>
      <c r="M79" s="6">
        <f t="shared" si="3"/>
        <v>-3.4493005394532317E-2</v>
      </c>
      <c r="N79" s="6" t="str" cm="1">
        <f t="array" ref="N79">_xlfn.IFS('Data Cleaning &amp; Transf'!H79&lt;500,"LOW",AND('Data Cleaning &amp; Transf'!H79 &gt;500,'Data Cleaning &amp; Transf'!H79&lt;1000),"Medium",'Data Cleaning &amp; Transf'!H79&gt;1000,"High")</f>
        <v>LOW</v>
      </c>
    </row>
    <row r="80" spans="1:14" x14ac:dyDescent="0.3">
      <c r="A80" t="s">
        <v>89</v>
      </c>
      <c r="B80" s="2" t="s">
        <v>547</v>
      </c>
      <c r="C80" s="9" t="str">
        <f t="shared" si="2"/>
        <v>06-2023</v>
      </c>
      <c r="D80" t="s">
        <v>784</v>
      </c>
      <c r="E80" t="s">
        <v>788</v>
      </c>
      <c r="F80" t="s">
        <v>793</v>
      </c>
      <c r="G80" t="s">
        <v>880</v>
      </c>
      <c r="H80">
        <v>542.17999999999995</v>
      </c>
      <c r="I80">
        <v>1</v>
      </c>
      <c r="J80">
        <v>0.15</v>
      </c>
      <c r="K80">
        <v>78.489999999999995</v>
      </c>
      <c r="L80" t="s">
        <v>1290</v>
      </c>
      <c r="M80" s="6">
        <f t="shared" si="3"/>
        <v>0.14476742041388468</v>
      </c>
      <c r="N80" s="6" t="str" cm="1">
        <f t="array" ref="N80">_xlfn.IFS('Data Cleaning &amp; Transf'!H80&lt;500,"LOW",AND('Data Cleaning &amp; Transf'!H80 &gt;500,'Data Cleaning &amp; Transf'!H80&lt;1000),"Medium",'Data Cleaning &amp; Transf'!H80&gt;1000,"High")</f>
        <v>Medium</v>
      </c>
    </row>
    <row r="81" spans="1:14" x14ac:dyDescent="0.3">
      <c r="A81" t="s">
        <v>90</v>
      </c>
      <c r="B81" s="2" t="s">
        <v>585</v>
      </c>
      <c r="C81" s="9" t="str">
        <f t="shared" si="2"/>
        <v>04-2023</v>
      </c>
      <c r="D81" t="s">
        <v>785</v>
      </c>
      <c r="E81" t="s">
        <v>789</v>
      </c>
      <c r="F81" t="s">
        <v>794</v>
      </c>
      <c r="G81" t="s">
        <v>881</v>
      </c>
      <c r="H81">
        <v>554.46</v>
      </c>
      <c r="I81">
        <v>5</v>
      </c>
      <c r="J81">
        <v>0.2</v>
      </c>
      <c r="K81">
        <v>-81.36</v>
      </c>
      <c r="L81" t="s">
        <v>1290</v>
      </c>
      <c r="M81" s="6">
        <f t="shared" si="3"/>
        <v>-0.14673736608592142</v>
      </c>
      <c r="N81" s="6" t="str" cm="1">
        <f t="array" ref="N81">_xlfn.IFS('Data Cleaning &amp; Transf'!H81&lt;500,"LOW",AND('Data Cleaning &amp; Transf'!H81 &gt;500,'Data Cleaning &amp; Transf'!H81&lt;1000),"Medium",'Data Cleaning &amp; Transf'!H81&gt;1000,"High")</f>
        <v>Medium</v>
      </c>
    </row>
    <row r="82" spans="1:14" x14ac:dyDescent="0.3">
      <c r="A82" t="s">
        <v>91</v>
      </c>
      <c r="B82" s="2" t="s">
        <v>586</v>
      </c>
      <c r="C82" s="9" t="str">
        <f t="shared" si="2"/>
        <v>11-2023</v>
      </c>
      <c r="D82" t="s">
        <v>786</v>
      </c>
      <c r="E82" t="s">
        <v>789</v>
      </c>
      <c r="F82" t="s">
        <v>799</v>
      </c>
      <c r="G82" t="s">
        <v>871</v>
      </c>
      <c r="H82">
        <v>1766.84</v>
      </c>
      <c r="I82">
        <v>9</v>
      </c>
      <c r="J82">
        <v>0.05</v>
      </c>
      <c r="K82">
        <v>419.7</v>
      </c>
      <c r="L82" t="s">
        <v>1290</v>
      </c>
      <c r="M82" s="6">
        <f t="shared" si="3"/>
        <v>0.23754273165651674</v>
      </c>
      <c r="N82" s="6" t="str" cm="1">
        <f t="array" ref="N82">_xlfn.IFS('Data Cleaning &amp; Transf'!H82&lt;500,"LOW",AND('Data Cleaning &amp; Transf'!H82 &gt;500,'Data Cleaning &amp; Transf'!H82&lt;1000),"Medium",'Data Cleaning &amp; Transf'!H82&gt;1000,"High")</f>
        <v>High</v>
      </c>
    </row>
    <row r="83" spans="1:14" x14ac:dyDescent="0.3">
      <c r="A83" t="s">
        <v>92</v>
      </c>
      <c r="B83" s="2" t="s">
        <v>587</v>
      </c>
      <c r="C83" s="9" t="str">
        <f t="shared" si="2"/>
        <v>12-2023</v>
      </c>
      <c r="D83" t="s">
        <v>786</v>
      </c>
      <c r="E83" t="s">
        <v>789</v>
      </c>
      <c r="F83" t="s">
        <v>798</v>
      </c>
      <c r="G83" t="s">
        <v>882</v>
      </c>
      <c r="H83">
        <v>914.25</v>
      </c>
      <c r="I83">
        <v>10</v>
      </c>
      <c r="J83">
        <v>0</v>
      </c>
      <c r="K83">
        <v>114.08</v>
      </c>
      <c r="L83" t="s">
        <v>1290</v>
      </c>
      <c r="M83" s="6">
        <f t="shared" si="3"/>
        <v>0.12477987421383648</v>
      </c>
      <c r="N83" s="6" t="str" cm="1">
        <f t="array" ref="N83">_xlfn.IFS('Data Cleaning &amp; Transf'!H83&lt;500,"LOW",AND('Data Cleaning &amp; Transf'!H83 &gt;500,'Data Cleaning &amp; Transf'!H83&lt;1000),"Medium",'Data Cleaning &amp; Transf'!H83&gt;1000,"High")</f>
        <v>Medium</v>
      </c>
    </row>
    <row r="84" spans="1:14" x14ac:dyDescent="0.3">
      <c r="A84" t="s">
        <v>93</v>
      </c>
      <c r="B84" s="2" t="s">
        <v>588</v>
      </c>
      <c r="C84" s="9" t="str">
        <f t="shared" si="2"/>
        <v>08-2023</v>
      </c>
      <c r="D84" t="s">
        <v>785</v>
      </c>
      <c r="E84" t="s">
        <v>788</v>
      </c>
      <c r="F84" t="s">
        <v>793</v>
      </c>
      <c r="G84" t="s">
        <v>883</v>
      </c>
      <c r="H84">
        <v>1683.62</v>
      </c>
      <c r="I84">
        <v>4</v>
      </c>
      <c r="J84">
        <v>0.2</v>
      </c>
      <c r="K84">
        <v>62.1</v>
      </c>
      <c r="L84" t="s">
        <v>1289</v>
      </c>
      <c r="M84" s="6">
        <f t="shared" si="3"/>
        <v>3.6884807735712337E-2</v>
      </c>
      <c r="N84" s="6" t="str" cm="1">
        <f t="array" ref="N84">_xlfn.IFS('Data Cleaning &amp; Transf'!H84&lt;500,"LOW",AND('Data Cleaning &amp; Transf'!H84 &gt;500,'Data Cleaning &amp; Transf'!H84&lt;1000),"Medium",'Data Cleaning &amp; Transf'!H84&gt;1000,"High")</f>
        <v>High</v>
      </c>
    </row>
    <row r="85" spans="1:14" x14ac:dyDescent="0.3">
      <c r="A85" t="s">
        <v>94</v>
      </c>
      <c r="B85" s="2" t="s">
        <v>513</v>
      </c>
      <c r="C85" s="9" t="str">
        <f t="shared" si="2"/>
        <v>01-2023</v>
      </c>
      <c r="D85" t="s">
        <v>786</v>
      </c>
      <c r="E85" t="s">
        <v>787</v>
      </c>
      <c r="F85" t="s">
        <v>800</v>
      </c>
      <c r="G85" t="s">
        <v>884</v>
      </c>
      <c r="H85">
        <v>1763.79</v>
      </c>
      <c r="I85">
        <v>1</v>
      </c>
      <c r="J85">
        <v>0.1</v>
      </c>
      <c r="K85">
        <v>-84.18</v>
      </c>
      <c r="L85" t="s">
        <v>1289</v>
      </c>
      <c r="M85" s="6">
        <f t="shared" si="3"/>
        <v>-4.7726770193730554E-2</v>
      </c>
      <c r="N85" s="6" t="str" cm="1">
        <f t="array" ref="N85">_xlfn.IFS('Data Cleaning &amp; Transf'!H85&lt;500,"LOW",AND('Data Cleaning &amp; Transf'!H85 &gt;500,'Data Cleaning &amp; Transf'!H85&lt;1000),"Medium",'Data Cleaning &amp; Transf'!H85&gt;1000,"High")</f>
        <v>High</v>
      </c>
    </row>
    <row r="86" spans="1:14" x14ac:dyDescent="0.3">
      <c r="A86" t="s">
        <v>95</v>
      </c>
      <c r="B86" s="2" t="s">
        <v>589</v>
      </c>
      <c r="C86" s="9" t="str">
        <f t="shared" si="2"/>
        <v>01-2023</v>
      </c>
      <c r="D86" t="s">
        <v>784</v>
      </c>
      <c r="E86" t="s">
        <v>787</v>
      </c>
      <c r="F86" t="s">
        <v>800</v>
      </c>
      <c r="G86" t="s">
        <v>885</v>
      </c>
      <c r="H86">
        <v>64.81</v>
      </c>
      <c r="I86">
        <v>10</v>
      </c>
      <c r="J86">
        <v>0.15</v>
      </c>
      <c r="K86">
        <v>3.08</v>
      </c>
      <c r="L86" t="s">
        <v>1291</v>
      </c>
      <c r="M86" s="6">
        <f t="shared" si="3"/>
        <v>4.7523530319395157E-2</v>
      </c>
      <c r="N86" s="6" t="str" cm="1">
        <f t="array" ref="N86">_xlfn.IFS('Data Cleaning &amp; Transf'!H86&lt;500,"LOW",AND('Data Cleaning &amp; Transf'!H86 &gt;500,'Data Cleaning &amp; Transf'!H86&lt;1000),"Medium",'Data Cleaning &amp; Transf'!H86&gt;1000,"High")</f>
        <v>LOW</v>
      </c>
    </row>
    <row r="87" spans="1:14" x14ac:dyDescent="0.3">
      <c r="A87" t="s">
        <v>96</v>
      </c>
      <c r="B87" s="2" t="s">
        <v>541</v>
      </c>
      <c r="C87" s="9" t="str">
        <f t="shared" si="2"/>
        <v>01-2023</v>
      </c>
      <c r="D87" t="s">
        <v>786</v>
      </c>
      <c r="E87" t="s">
        <v>787</v>
      </c>
      <c r="F87" t="s">
        <v>801</v>
      </c>
      <c r="G87" t="s">
        <v>886</v>
      </c>
      <c r="H87">
        <v>1991.69</v>
      </c>
      <c r="I87">
        <v>3</v>
      </c>
      <c r="J87">
        <v>0.15</v>
      </c>
      <c r="K87">
        <v>197.67</v>
      </c>
      <c r="L87" t="s">
        <v>1291</v>
      </c>
      <c r="M87" s="6">
        <f t="shared" si="3"/>
        <v>9.9247372834125783E-2</v>
      </c>
      <c r="N87" s="6" t="str" cm="1">
        <f t="array" ref="N87">_xlfn.IFS('Data Cleaning &amp; Transf'!H87&lt;500,"LOW",AND('Data Cleaning &amp; Transf'!H87 &gt;500,'Data Cleaning &amp; Transf'!H87&lt;1000),"Medium",'Data Cleaning &amp; Transf'!H87&gt;1000,"High")</f>
        <v>High</v>
      </c>
    </row>
    <row r="88" spans="1:14" x14ac:dyDescent="0.3">
      <c r="A88" t="s">
        <v>97</v>
      </c>
      <c r="B88" s="2" t="s">
        <v>590</v>
      </c>
      <c r="C88" s="9" t="str">
        <f t="shared" si="2"/>
        <v>04-2023</v>
      </c>
      <c r="D88" t="s">
        <v>784</v>
      </c>
      <c r="E88" t="s">
        <v>787</v>
      </c>
      <c r="F88" t="s">
        <v>790</v>
      </c>
      <c r="G88" t="s">
        <v>887</v>
      </c>
      <c r="H88">
        <v>1367.21</v>
      </c>
      <c r="I88">
        <v>7</v>
      </c>
      <c r="J88">
        <v>0</v>
      </c>
      <c r="K88">
        <v>86.8</v>
      </c>
      <c r="L88" t="s">
        <v>1290</v>
      </c>
      <c r="M88" s="6">
        <f t="shared" si="3"/>
        <v>6.3486955186108932E-2</v>
      </c>
      <c r="N88" s="6" t="str" cm="1">
        <f t="array" ref="N88">_xlfn.IFS('Data Cleaning &amp; Transf'!H88&lt;500,"LOW",AND('Data Cleaning &amp; Transf'!H88 &gt;500,'Data Cleaning &amp; Transf'!H88&lt;1000),"Medium",'Data Cleaning &amp; Transf'!H88&gt;1000,"High")</f>
        <v>High</v>
      </c>
    </row>
    <row r="89" spans="1:14" x14ac:dyDescent="0.3">
      <c r="A89" t="s">
        <v>98</v>
      </c>
      <c r="B89" s="2" t="s">
        <v>591</v>
      </c>
      <c r="C89" s="9" t="str">
        <f t="shared" si="2"/>
        <v>12-2023</v>
      </c>
      <c r="D89" t="s">
        <v>784</v>
      </c>
      <c r="E89" t="s">
        <v>788</v>
      </c>
      <c r="F89" t="s">
        <v>791</v>
      </c>
      <c r="G89" t="s">
        <v>888</v>
      </c>
      <c r="H89">
        <v>1755.49</v>
      </c>
      <c r="I89">
        <v>4</v>
      </c>
      <c r="J89">
        <v>0.15</v>
      </c>
      <c r="K89">
        <v>27.56</v>
      </c>
      <c r="L89" t="s">
        <v>1291</v>
      </c>
      <c r="M89" s="6">
        <f t="shared" si="3"/>
        <v>1.5699320417661165E-2</v>
      </c>
      <c r="N89" s="6" t="str" cm="1">
        <f t="array" ref="N89">_xlfn.IFS('Data Cleaning &amp; Transf'!H89&lt;500,"LOW",AND('Data Cleaning &amp; Transf'!H89 &gt;500,'Data Cleaning &amp; Transf'!H89&lt;1000),"Medium",'Data Cleaning &amp; Transf'!H89&gt;1000,"High")</f>
        <v>High</v>
      </c>
    </row>
    <row r="90" spans="1:14" x14ac:dyDescent="0.3">
      <c r="A90" t="s">
        <v>99</v>
      </c>
      <c r="B90" s="2" t="s">
        <v>592</v>
      </c>
      <c r="C90" s="9" t="str">
        <f t="shared" si="2"/>
        <v>07-2023</v>
      </c>
      <c r="D90" t="s">
        <v>783</v>
      </c>
      <c r="E90" t="s">
        <v>789</v>
      </c>
      <c r="F90" t="s">
        <v>797</v>
      </c>
      <c r="G90" t="s">
        <v>889</v>
      </c>
      <c r="H90">
        <v>1442.35</v>
      </c>
      <c r="I90">
        <v>9</v>
      </c>
      <c r="J90">
        <v>0.15</v>
      </c>
      <c r="K90">
        <v>-42.13</v>
      </c>
      <c r="L90" t="s">
        <v>1289</v>
      </c>
      <c r="M90" s="6">
        <f t="shared" si="3"/>
        <v>-2.920927652788852E-2</v>
      </c>
      <c r="N90" s="6" t="str" cm="1">
        <f t="array" ref="N90">_xlfn.IFS('Data Cleaning &amp; Transf'!H90&lt;500,"LOW",AND('Data Cleaning &amp; Transf'!H90 &gt;500,'Data Cleaning &amp; Transf'!H90&lt;1000),"Medium",'Data Cleaning &amp; Transf'!H90&gt;1000,"High")</f>
        <v>High</v>
      </c>
    </row>
    <row r="91" spans="1:14" x14ac:dyDescent="0.3">
      <c r="A91" t="s">
        <v>100</v>
      </c>
      <c r="B91" s="2" t="s">
        <v>593</v>
      </c>
      <c r="C91" s="9" t="str">
        <f t="shared" si="2"/>
        <v>07-2023</v>
      </c>
      <c r="D91" t="s">
        <v>784</v>
      </c>
      <c r="E91" t="s">
        <v>787</v>
      </c>
      <c r="F91" t="s">
        <v>801</v>
      </c>
      <c r="G91" t="s">
        <v>890</v>
      </c>
      <c r="H91">
        <v>1423.75</v>
      </c>
      <c r="I91">
        <v>10</v>
      </c>
      <c r="J91">
        <v>0.2</v>
      </c>
      <c r="K91">
        <v>94.45</v>
      </c>
      <c r="L91" t="s">
        <v>1291</v>
      </c>
      <c r="M91" s="6">
        <f t="shared" si="3"/>
        <v>6.6338893766461807E-2</v>
      </c>
      <c r="N91" s="6" t="str" cm="1">
        <f t="array" ref="N91">_xlfn.IFS('Data Cleaning &amp; Transf'!H91&lt;500,"LOW",AND('Data Cleaning &amp; Transf'!H91 &gt;500,'Data Cleaning &amp; Transf'!H91&lt;1000),"Medium",'Data Cleaning &amp; Transf'!H91&gt;1000,"High")</f>
        <v>High</v>
      </c>
    </row>
    <row r="92" spans="1:14" x14ac:dyDescent="0.3">
      <c r="A92" t="s">
        <v>101</v>
      </c>
      <c r="B92" s="2" t="s">
        <v>562</v>
      </c>
      <c r="C92" s="9" t="str">
        <f t="shared" si="2"/>
        <v>05-2023</v>
      </c>
      <c r="D92" t="s">
        <v>785</v>
      </c>
      <c r="E92" t="s">
        <v>788</v>
      </c>
      <c r="F92" t="s">
        <v>793</v>
      </c>
      <c r="G92" t="s">
        <v>891</v>
      </c>
      <c r="H92">
        <v>1335.69</v>
      </c>
      <c r="I92">
        <v>5</v>
      </c>
      <c r="J92">
        <v>0.15</v>
      </c>
      <c r="K92">
        <v>-69.63</v>
      </c>
      <c r="L92" t="s">
        <v>1291</v>
      </c>
      <c r="M92" s="6">
        <f t="shared" si="3"/>
        <v>-5.2130359589425683E-2</v>
      </c>
      <c r="N92" s="6" t="str" cm="1">
        <f t="array" ref="N92">_xlfn.IFS('Data Cleaning &amp; Transf'!H92&lt;500,"LOW",AND('Data Cleaning &amp; Transf'!H92 &gt;500,'Data Cleaning &amp; Transf'!H92&lt;1000),"Medium",'Data Cleaning &amp; Transf'!H92&gt;1000,"High")</f>
        <v>High</v>
      </c>
    </row>
    <row r="93" spans="1:14" x14ac:dyDescent="0.3">
      <c r="A93" t="s">
        <v>102</v>
      </c>
      <c r="B93" s="2" t="s">
        <v>594</v>
      </c>
      <c r="C93" s="9" t="str">
        <f t="shared" si="2"/>
        <v>12-2023</v>
      </c>
      <c r="D93" t="s">
        <v>786</v>
      </c>
      <c r="E93" t="s">
        <v>787</v>
      </c>
      <c r="F93" t="s">
        <v>801</v>
      </c>
      <c r="G93" t="s">
        <v>892</v>
      </c>
      <c r="H93">
        <v>927.48</v>
      </c>
      <c r="I93">
        <v>8</v>
      </c>
      <c r="J93">
        <v>0</v>
      </c>
      <c r="K93">
        <v>67.47</v>
      </c>
      <c r="L93" t="s">
        <v>1289</v>
      </c>
      <c r="M93" s="6">
        <f t="shared" si="3"/>
        <v>7.2745503946176737E-2</v>
      </c>
      <c r="N93" s="6" t="str" cm="1">
        <f t="array" ref="N93">_xlfn.IFS('Data Cleaning &amp; Transf'!H93&lt;500,"LOW",AND('Data Cleaning &amp; Transf'!H93 &gt;500,'Data Cleaning &amp; Transf'!H93&lt;1000),"Medium",'Data Cleaning &amp; Transf'!H93&gt;1000,"High")</f>
        <v>Medium</v>
      </c>
    </row>
    <row r="94" spans="1:14" x14ac:dyDescent="0.3">
      <c r="A94" t="s">
        <v>103</v>
      </c>
      <c r="B94" s="2" t="s">
        <v>585</v>
      </c>
      <c r="C94" s="9" t="str">
        <f t="shared" si="2"/>
        <v>04-2023</v>
      </c>
      <c r="D94" t="s">
        <v>786</v>
      </c>
      <c r="E94" t="s">
        <v>787</v>
      </c>
      <c r="F94" t="s">
        <v>800</v>
      </c>
      <c r="G94" t="s">
        <v>893</v>
      </c>
      <c r="H94">
        <v>1540.88</v>
      </c>
      <c r="I94">
        <v>2</v>
      </c>
      <c r="J94">
        <v>0.15</v>
      </c>
      <c r="K94">
        <v>-102.16</v>
      </c>
      <c r="L94" t="s">
        <v>1290</v>
      </c>
      <c r="M94" s="6">
        <f t="shared" si="3"/>
        <v>-6.6299776750947503E-2</v>
      </c>
      <c r="N94" s="6" t="str" cm="1">
        <f t="array" ref="N94">_xlfn.IFS('Data Cleaning &amp; Transf'!H94&lt;500,"LOW",AND('Data Cleaning &amp; Transf'!H94 &gt;500,'Data Cleaning &amp; Transf'!H94&lt;1000),"Medium",'Data Cleaning &amp; Transf'!H94&gt;1000,"High")</f>
        <v>High</v>
      </c>
    </row>
    <row r="95" spans="1:14" x14ac:dyDescent="0.3">
      <c r="A95" t="s">
        <v>104</v>
      </c>
      <c r="B95" s="2" t="s">
        <v>595</v>
      </c>
      <c r="C95" s="9" t="str">
        <f t="shared" si="2"/>
        <v>04-2023</v>
      </c>
      <c r="D95" t="s">
        <v>785</v>
      </c>
      <c r="E95" t="s">
        <v>788</v>
      </c>
      <c r="F95" t="s">
        <v>796</v>
      </c>
      <c r="G95" t="s">
        <v>894</v>
      </c>
      <c r="H95">
        <v>146.85</v>
      </c>
      <c r="I95">
        <v>8</v>
      </c>
      <c r="J95">
        <v>0</v>
      </c>
      <c r="K95">
        <v>42.22</v>
      </c>
      <c r="L95" t="s">
        <v>1289</v>
      </c>
      <c r="M95" s="6">
        <f t="shared" si="3"/>
        <v>0.28750425604358187</v>
      </c>
      <c r="N95" s="6" t="str" cm="1">
        <f t="array" ref="N95">_xlfn.IFS('Data Cleaning &amp; Transf'!H95&lt;500,"LOW",AND('Data Cleaning &amp; Transf'!H95 &gt;500,'Data Cleaning &amp; Transf'!H95&lt;1000),"Medium",'Data Cleaning &amp; Transf'!H95&gt;1000,"High")</f>
        <v>LOW</v>
      </c>
    </row>
    <row r="96" spans="1:14" x14ac:dyDescent="0.3">
      <c r="A96" t="s">
        <v>105</v>
      </c>
      <c r="B96" s="2" t="s">
        <v>596</v>
      </c>
      <c r="C96" s="9" t="str">
        <f t="shared" si="2"/>
        <v>10-2023</v>
      </c>
      <c r="D96" t="s">
        <v>784</v>
      </c>
      <c r="E96" t="s">
        <v>787</v>
      </c>
      <c r="F96" t="s">
        <v>790</v>
      </c>
      <c r="G96" t="s">
        <v>895</v>
      </c>
      <c r="H96">
        <v>1226.22</v>
      </c>
      <c r="I96">
        <v>4</v>
      </c>
      <c r="J96">
        <v>0</v>
      </c>
      <c r="K96">
        <v>115.91</v>
      </c>
      <c r="L96" t="s">
        <v>1291</v>
      </c>
      <c r="M96" s="6">
        <f t="shared" si="3"/>
        <v>9.4526267717049139E-2</v>
      </c>
      <c r="N96" s="6" t="str" cm="1">
        <f t="array" ref="N96">_xlfn.IFS('Data Cleaning &amp; Transf'!H96&lt;500,"LOW",AND('Data Cleaning &amp; Transf'!H96 &gt;500,'Data Cleaning &amp; Transf'!H96&lt;1000),"Medium",'Data Cleaning &amp; Transf'!H96&gt;1000,"High")</f>
        <v>High</v>
      </c>
    </row>
    <row r="97" spans="1:14" x14ac:dyDescent="0.3">
      <c r="A97" t="s">
        <v>106</v>
      </c>
      <c r="B97" s="2" t="s">
        <v>526</v>
      </c>
      <c r="C97" s="9" t="str">
        <f t="shared" si="2"/>
        <v>09-2023</v>
      </c>
      <c r="D97" t="s">
        <v>784</v>
      </c>
      <c r="E97" t="s">
        <v>789</v>
      </c>
      <c r="F97" t="s">
        <v>797</v>
      </c>
      <c r="G97" t="s">
        <v>896</v>
      </c>
      <c r="H97">
        <v>891.67</v>
      </c>
      <c r="I97">
        <v>9</v>
      </c>
      <c r="J97">
        <v>0.1</v>
      </c>
      <c r="K97">
        <v>170.38</v>
      </c>
      <c r="L97" t="s">
        <v>1290</v>
      </c>
      <c r="M97" s="6">
        <f t="shared" si="3"/>
        <v>0.19107965951529154</v>
      </c>
      <c r="N97" s="6" t="str" cm="1">
        <f t="array" ref="N97">_xlfn.IFS('Data Cleaning &amp; Transf'!H97&lt;500,"LOW",AND('Data Cleaning &amp; Transf'!H97 &gt;500,'Data Cleaning &amp; Transf'!H97&lt;1000),"Medium",'Data Cleaning &amp; Transf'!H97&gt;1000,"High")</f>
        <v>Medium</v>
      </c>
    </row>
    <row r="98" spans="1:14" x14ac:dyDescent="0.3">
      <c r="A98" t="s">
        <v>107</v>
      </c>
      <c r="B98" s="2" t="s">
        <v>597</v>
      </c>
      <c r="C98" s="9" t="str">
        <f t="shared" si="2"/>
        <v>05-2023</v>
      </c>
      <c r="D98" t="s">
        <v>784</v>
      </c>
      <c r="E98" t="s">
        <v>787</v>
      </c>
      <c r="F98" t="s">
        <v>801</v>
      </c>
      <c r="G98" t="s">
        <v>897</v>
      </c>
      <c r="H98">
        <v>578.1</v>
      </c>
      <c r="I98">
        <v>10</v>
      </c>
      <c r="J98">
        <v>0.1</v>
      </c>
      <c r="K98">
        <v>68.09</v>
      </c>
      <c r="L98" t="s">
        <v>1289</v>
      </c>
      <c r="M98" s="6">
        <f t="shared" si="3"/>
        <v>0.11778239058986335</v>
      </c>
      <c r="N98" s="6" t="str" cm="1">
        <f t="array" ref="N98">_xlfn.IFS('Data Cleaning &amp; Transf'!H98&lt;500,"LOW",AND('Data Cleaning &amp; Transf'!H98 &gt;500,'Data Cleaning &amp; Transf'!H98&lt;1000),"Medium",'Data Cleaning &amp; Transf'!H98&gt;1000,"High")</f>
        <v>Medium</v>
      </c>
    </row>
    <row r="99" spans="1:14" x14ac:dyDescent="0.3">
      <c r="A99" t="s">
        <v>108</v>
      </c>
      <c r="B99" s="2" t="s">
        <v>598</v>
      </c>
      <c r="C99" s="9" t="str">
        <f t="shared" si="2"/>
        <v>02-2023</v>
      </c>
      <c r="D99" t="s">
        <v>784</v>
      </c>
      <c r="E99" t="s">
        <v>789</v>
      </c>
      <c r="F99" t="s">
        <v>798</v>
      </c>
      <c r="G99" t="s">
        <v>898</v>
      </c>
      <c r="H99">
        <v>402.82</v>
      </c>
      <c r="I99">
        <v>4</v>
      </c>
      <c r="J99">
        <v>0</v>
      </c>
      <c r="K99">
        <v>25.92</v>
      </c>
      <c r="L99" t="s">
        <v>1290</v>
      </c>
      <c r="M99" s="6">
        <f t="shared" si="3"/>
        <v>6.4346358174867196E-2</v>
      </c>
      <c r="N99" s="6" t="str" cm="1">
        <f t="array" ref="N99">_xlfn.IFS('Data Cleaning &amp; Transf'!H99&lt;500,"LOW",AND('Data Cleaning &amp; Transf'!H99 &gt;500,'Data Cleaning &amp; Transf'!H99&lt;1000),"Medium",'Data Cleaning &amp; Transf'!H99&gt;1000,"High")</f>
        <v>LOW</v>
      </c>
    </row>
    <row r="100" spans="1:14" x14ac:dyDescent="0.3">
      <c r="A100" t="s">
        <v>109</v>
      </c>
      <c r="B100" s="2" t="s">
        <v>599</v>
      </c>
      <c r="C100" s="9" t="str">
        <f t="shared" si="2"/>
        <v>01-2023</v>
      </c>
      <c r="D100" t="s">
        <v>786</v>
      </c>
      <c r="E100" t="s">
        <v>787</v>
      </c>
      <c r="F100" t="s">
        <v>790</v>
      </c>
      <c r="G100" t="s">
        <v>899</v>
      </c>
      <c r="H100">
        <v>648.70000000000005</v>
      </c>
      <c r="I100">
        <v>5</v>
      </c>
      <c r="J100">
        <v>0.05</v>
      </c>
      <c r="K100">
        <v>52.74</v>
      </c>
      <c r="L100" t="s">
        <v>1290</v>
      </c>
      <c r="M100" s="6">
        <f t="shared" si="3"/>
        <v>8.1301063665793122E-2</v>
      </c>
      <c r="N100" s="6" t="str" cm="1">
        <f t="array" ref="N100">_xlfn.IFS('Data Cleaning &amp; Transf'!H100&lt;500,"LOW",AND('Data Cleaning &amp; Transf'!H100 &gt;500,'Data Cleaning &amp; Transf'!H100&lt;1000),"Medium",'Data Cleaning &amp; Transf'!H100&gt;1000,"High")</f>
        <v>Medium</v>
      </c>
    </row>
    <row r="101" spans="1:14" x14ac:dyDescent="0.3">
      <c r="A101" t="s">
        <v>110</v>
      </c>
      <c r="B101" s="2" t="s">
        <v>568</v>
      </c>
      <c r="C101" s="9" t="str">
        <f t="shared" si="2"/>
        <v>03-2023</v>
      </c>
      <c r="D101" t="s">
        <v>786</v>
      </c>
      <c r="E101" t="s">
        <v>788</v>
      </c>
      <c r="F101" t="s">
        <v>791</v>
      </c>
      <c r="G101" t="s">
        <v>900</v>
      </c>
      <c r="H101">
        <v>445.59</v>
      </c>
      <c r="I101">
        <v>6</v>
      </c>
      <c r="J101">
        <v>0.1</v>
      </c>
      <c r="K101">
        <v>49.21</v>
      </c>
      <c r="L101" t="s">
        <v>1290</v>
      </c>
      <c r="M101" s="6">
        <f t="shared" si="3"/>
        <v>0.11043784645077315</v>
      </c>
      <c r="N101" s="6" t="str" cm="1">
        <f t="array" ref="N101">_xlfn.IFS('Data Cleaning &amp; Transf'!H101&lt;500,"LOW",AND('Data Cleaning &amp; Transf'!H101 &gt;500,'Data Cleaning &amp; Transf'!H101&lt;1000),"Medium",'Data Cleaning &amp; Transf'!H101&gt;1000,"High")</f>
        <v>LOW</v>
      </c>
    </row>
    <row r="102" spans="1:14" x14ac:dyDescent="0.3">
      <c r="A102" t="s">
        <v>111</v>
      </c>
      <c r="B102" s="2" t="s">
        <v>595</v>
      </c>
      <c r="C102" s="9" t="str">
        <f t="shared" si="2"/>
        <v>04-2023</v>
      </c>
      <c r="D102" t="s">
        <v>786</v>
      </c>
      <c r="E102" t="s">
        <v>788</v>
      </c>
      <c r="F102" t="s">
        <v>793</v>
      </c>
      <c r="G102" t="s">
        <v>901</v>
      </c>
      <c r="H102">
        <v>1931.57</v>
      </c>
      <c r="I102">
        <v>5</v>
      </c>
      <c r="J102">
        <v>0</v>
      </c>
      <c r="K102">
        <v>223.63</v>
      </c>
      <c r="L102" t="s">
        <v>1289</v>
      </c>
      <c r="M102" s="6">
        <f t="shared" si="3"/>
        <v>0.11577628561222218</v>
      </c>
      <c r="N102" s="6" t="str" cm="1">
        <f t="array" ref="N102">_xlfn.IFS('Data Cleaning &amp; Transf'!H102&lt;500,"LOW",AND('Data Cleaning &amp; Transf'!H102 &gt;500,'Data Cleaning &amp; Transf'!H102&lt;1000),"Medium",'Data Cleaning &amp; Transf'!H102&gt;1000,"High")</f>
        <v>High</v>
      </c>
    </row>
    <row r="103" spans="1:14" x14ac:dyDescent="0.3">
      <c r="A103" t="s">
        <v>112</v>
      </c>
      <c r="B103" s="2" t="s">
        <v>600</v>
      </c>
      <c r="C103" s="9" t="str">
        <f t="shared" si="2"/>
        <v>09-2023</v>
      </c>
      <c r="D103" t="s">
        <v>783</v>
      </c>
      <c r="E103" t="s">
        <v>787</v>
      </c>
      <c r="F103" t="s">
        <v>790</v>
      </c>
      <c r="G103" t="s">
        <v>902</v>
      </c>
      <c r="H103">
        <v>553.01</v>
      </c>
      <c r="I103">
        <v>2</v>
      </c>
      <c r="J103">
        <v>0</v>
      </c>
      <c r="K103">
        <v>83.14</v>
      </c>
      <c r="L103" t="s">
        <v>1290</v>
      </c>
      <c r="M103" s="6">
        <f t="shared" si="3"/>
        <v>0.15034086182890002</v>
      </c>
      <c r="N103" s="6" t="str" cm="1">
        <f t="array" ref="N103">_xlfn.IFS('Data Cleaning &amp; Transf'!H103&lt;500,"LOW",AND('Data Cleaning &amp; Transf'!H103 &gt;500,'Data Cleaning &amp; Transf'!H103&lt;1000),"Medium",'Data Cleaning &amp; Transf'!H103&gt;1000,"High")</f>
        <v>Medium</v>
      </c>
    </row>
    <row r="104" spans="1:14" x14ac:dyDescent="0.3">
      <c r="A104" t="s">
        <v>113</v>
      </c>
      <c r="B104" s="2" t="s">
        <v>601</v>
      </c>
      <c r="C104" s="9" t="str">
        <f t="shared" si="2"/>
        <v>01-2023</v>
      </c>
      <c r="D104" t="s">
        <v>784</v>
      </c>
      <c r="E104" t="s">
        <v>789</v>
      </c>
      <c r="F104" t="s">
        <v>799</v>
      </c>
      <c r="G104" t="s">
        <v>903</v>
      </c>
      <c r="H104">
        <v>1705.43</v>
      </c>
      <c r="I104">
        <v>7</v>
      </c>
      <c r="J104">
        <v>0.15</v>
      </c>
      <c r="K104">
        <v>241</v>
      </c>
      <c r="L104" t="s">
        <v>1290</v>
      </c>
      <c r="M104" s="6">
        <f t="shared" si="3"/>
        <v>0.14131333446696728</v>
      </c>
      <c r="N104" s="6" t="str" cm="1">
        <f t="array" ref="N104">_xlfn.IFS('Data Cleaning &amp; Transf'!H104&lt;500,"LOW",AND('Data Cleaning &amp; Transf'!H104 &gt;500,'Data Cleaning &amp; Transf'!H104&lt;1000),"Medium",'Data Cleaning &amp; Transf'!H104&gt;1000,"High")</f>
        <v>High</v>
      </c>
    </row>
    <row r="105" spans="1:14" x14ac:dyDescent="0.3">
      <c r="A105" t="s">
        <v>114</v>
      </c>
      <c r="B105" s="2" t="s">
        <v>602</v>
      </c>
      <c r="C105" s="9" t="str">
        <f t="shared" si="2"/>
        <v>02-2023</v>
      </c>
      <c r="D105" t="s">
        <v>783</v>
      </c>
      <c r="E105" t="s">
        <v>787</v>
      </c>
      <c r="F105" t="s">
        <v>792</v>
      </c>
      <c r="G105" t="s">
        <v>904</v>
      </c>
      <c r="H105">
        <v>1231.0999999999999</v>
      </c>
      <c r="I105">
        <v>8</v>
      </c>
      <c r="J105">
        <v>0.1</v>
      </c>
      <c r="K105">
        <v>-4.68</v>
      </c>
      <c r="L105" t="s">
        <v>1291</v>
      </c>
      <c r="M105" s="6">
        <f t="shared" si="3"/>
        <v>-3.8014783526927141E-3</v>
      </c>
      <c r="N105" s="6" t="str" cm="1">
        <f t="array" ref="N105">_xlfn.IFS('Data Cleaning &amp; Transf'!H105&lt;500,"LOW",AND('Data Cleaning &amp; Transf'!H105 &gt;500,'Data Cleaning &amp; Transf'!H105&lt;1000),"Medium",'Data Cleaning &amp; Transf'!H105&gt;1000,"High")</f>
        <v>High</v>
      </c>
    </row>
    <row r="106" spans="1:14" x14ac:dyDescent="0.3">
      <c r="A106" t="s">
        <v>115</v>
      </c>
      <c r="B106" s="2" t="s">
        <v>599</v>
      </c>
      <c r="C106" s="9" t="str">
        <f t="shared" si="2"/>
        <v>01-2023</v>
      </c>
      <c r="D106" t="s">
        <v>784</v>
      </c>
      <c r="E106" t="s">
        <v>788</v>
      </c>
      <c r="F106" t="s">
        <v>795</v>
      </c>
      <c r="G106" t="s">
        <v>905</v>
      </c>
      <c r="H106">
        <v>1426.42</v>
      </c>
      <c r="I106">
        <v>6</v>
      </c>
      <c r="J106">
        <v>0.05</v>
      </c>
      <c r="K106">
        <v>183.86</v>
      </c>
      <c r="L106" t="s">
        <v>1291</v>
      </c>
      <c r="M106" s="6">
        <f t="shared" si="3"/>
        <v>0.12889611755303487</v>
      </c>
      <c r="N106" s="6" t="str" cm="1">
        <f t="array" ref="N106">_xlfn.IFS('Data Cleaning &amp; Transf'!H106&lt;500,"LOW",AND('Data Cleaning &amp; Transf'!H106 &gt;500,'Data Cleaning &amp; Transf'!H106&lt;1000),"Medium",'Data Cleaning &amp; Transf'!H106&gt;1000,"High")</f>
        <v>High</v>
      </c>
    </row>
    <row r="107" spans="1:14" x14ac:dyDescent="0.3">
      <c r="A107" t="s">
        <v>116</v>
      </c>
      <c r="B107" s="2" t="s">
        <v>603</v>
      </c>
      <c r="C107" s="9" t="str">
        <f t="shared" si="2"/>
        <v>04-2023</v>
      </c>
      <c r="D107" t="s">
        <v>786</v>
      </c>
      <c r="E107" t="s">
        <v>788</v>
      </c>
      <c r="F107" t="s">
        <v>793</v>
      </c>
      <c r="G107" t="s">
        <v>906</v>
      </c>
      <c r="H107">
        <v>1841.55</v>
      </c>
      <c r="I107">
        <v>9</v>
      </c>
      <c r="J107">
        <v>0</v>
      </c>
      <c r="K107">
        <v>519.94000000000005</v>
      </c>
      <c r="L107" t="s">
        <v>1290</v>
      </c>
      <c r="M107" s="6">
        <f t="shared" si="3"/>
        <v>0.28233824767179827</v>
      </c>
      <c r="N107" s="6" t="str" cm="1">
        <f t="array" ref="N107">_xlfn.IFS('Data Cleaning &amp; Transf'!H107&lt;500,"LOW",AND('Data Cleaning &amp; Transf'!H107 &gt;500,'Data Cleaning &amp; Transf'!H107&lt;1000),"Medium",'Data Cleaning &amp; Transf'!H107&gt;1000,"High")</f>
        <v>High</v>
      </c>
    </row>
    <row r="108" spans="1:14" x14ac:dyDescent="0.3">
      <c r="A108" t="s">
        <v>117</v>
      </c>
      <c r="B108" s="2" t="s">
        <v>604</v>
      </c>
      <c r="C108" s="9" t="str">
        <f t="shared" si="2"/>
        <v>06-2023</v>
      </c>
      <c r="D108" t="s">
        <v>784</v>
      </c>
      <c r="E108" t="s">
        <v>788</v>
      </c>
      <c r="F108" t="s">
        <v>791</v>
      </c>
      <c r="G108" t="s">
        <v>907</v>
      </c>
      <c r="H108">
        <v>1168.52</v>
      </c>
      <c r="I108">
        <v>10</v>
      </c>
      <c r="J108">
        <v>0</v>
      </c>
      <c r="K108">
        <v>278.20999999999998</v>
      </c>
      <c r="L108" t="s">
        <v>1289</v>
      </c>
      <c r="M108" s="6">
        <f t="shared" si="3"/>
        <v>0.23808749529319137</v>
      </c>
      <c r="N108" s="6" t="str" cm="1">
        <f t="array" ref="N108">_xlfn.IFS('Data Cleaning &amp; Transf'!H108&lt;500,"LOW",AND('Data Cleaning &amp; Transf'!H108 &gt;500,'Data Cleaning &amp; Transf'!H108&lt;1000),"Medium",'Data Cleaning &amp; Transf'!H108&gt;1000,"High")</f>
        <v>High</v>
      </c>
    </row>
    <row r="109" spans="1:14" x14ac:dyDescent="0.3">
      <c r="A109" t="s">
        <v>118</v>
      </c>
      <c r="B109" s="2" t="s">
        <v>605</v>
      </c>
      <c r="C109" s="9" t="str">
        <f t="shared" si="2"/>
        <v>02-2023</v>
      </c>
      <c r="D109" t="s">
        <v>783</v>
      </c>
      <c r="E109" t="s">
        <v>787</v>
      </c>
      <c r="F109" t="s">
        <v>792</v>
      </c>
      <c r="G109" t="s">
        <v>908</v>
      </c>
      <c r="H109">
        <v>585.32000000000005</v>
      </c>
      <c r="I109">
        <v>1</v>
      </c>
      <c r="J109">
        <v>0</v>
      </c>
      <c r="K109">
        <v>34.53</v>
      </c>
      <c r="L109" t="s">
        <v>1290</v>
      </c>
      <c r="M109" s="6">
        <f t="shared" si="3"/>
        <v>5.8993371147406541E-2</v>
      </c>
      <c r="N109" s="6" t="str" cm="1">
        <f t="array" ref="N109">_xlfn.IFS('Data Cleaning &amp; Transf'!H109&lt;500,"LOW",AND('Data Cleaning &amp; Transf'!H109 &gt;500,'Data Cleaning &amp; Transf'!H109&lt;1000),"Medium",'Data Cleaning &amp; Transf'!H109&gt;1000,"High")</f>
        <v>Medium</v>
      </c>
    </row>
    <row r="110" spans="1:14" x14ac:dyDescent="0.3">
      <c r="A110" t="s">
        <v>119</v>
      </c>
      <c r="B110" s="2" t="s">
        <v>606</v>
      </c>
      <c r="C110" s="9" t="str">
        <f t="shared" si="2"/>
        <v>10-2023</v>
      </c>
      <c r="D110" t="s">
        <v>783</v>
      </c>
      <c r="E110" t="s">
        <v>787</v>
      </c>
      <c r="F110" t="s">
        <v>790</v>
      </c>
      <c r="G110" t="s">
        <v>909</v>
      </c>
      <c r="H110">
        <v>1942.59</v>
      </c>
      <c r="I110">
        <v>5</v>
      </c>
      <c r="J110">
        <v>0.2</v>
      </c>
      <c r="K110">
        <v>-43.89</v>
      </c>
      <c r="L110" t="s">
        <v>1289</v>
      </c>
      <c r="M110" s="6">
        <f t="shared" si="3"/>
        <v>-2.2593547789291617E-2</v>
      </c>
      <c r="N110" s="6" t="str" cm="1">
        <f t="array" ref="N110">_xlfn.IFS('Data Cleaning &amp; Transf'!H110&lt;500,"LOW",AND('Data Cleaning &amp; Transf'!H110 &gt;500,'Data Cleaning &amp; Transf'!H110&lt;1000),"Medium",'Data Cleaning &amp; Transf'!H110&gt;1000,"High")</f>
        <v>High</v>
      </c>
    </row>
    <row r="111" spans="1:14" x14ac:dyDescent="0.3">
      <c r="A111" t="s">
        <v>120</v>
      </c>
      <c r="B111" s="2" t="s">
        <v>568</v>
      </c>
      <c r="C111" s="9" t="str">
        <f t="shared" si="2"/>
        <v>03-2023</v>
      </c>
      <c r="D111" t="s">
        <v>784</v>
      </c>
      <c r="E111" t="s">
        <v>788</v>
      </c>
      <c r="F111" t="s">
        <v>793</v>
      </c>
      <c r="G111" t="s">
        <v>910</v>
      </c>
      <c r="H111">
        <v>489.5</v>
      </c>
      <c r="I111">
        <v>8</v>
      </c>
      <c r="J111">
        <v>0.05</v>
      </c>
      <c r="K111">
        <v>65.459999999999994</v>
      </c>
      <c r="L111" t="s">
        <v>1290</v>
      </c>
      <c r="M111" s="6">
        <f t="shared" si="3"/>
        <v>0.13372829417773235</v>
      </c>
      <c r="N111" s="6" t="str" cm="1">
        <f t="array" ref="N111">_xlfn.IFS('Data Cleaning &amp; Transf'!H111&lt;500,"LOW",AND('Data Cleaning &amp; Transf'!H111 &gt;500,'Data Cleaning &amp; Transf'!H111&lt;1000),"Medium",'Data Cleaning &amp; Transf'!H111&gt;1000,"High")</f>
        <v>LOW</v>
      </c>
    </row>
    <row r="112" spans="1:14" x14ac:dyDescent="0.3">
      <c r="A112" t="s">
        <v>121</v>
      </c>
      <c r="B112" s="2" t="s">
        <v>607</v>
      </c>
      <c r="C112" s="9" t="str">
        <f t="shared" si="2"/>
        <v>10-2023</v>
      </c>
      <c r="D112" t="s">
        <v>783</v>
      </c>
      <c r="E112" t="s">
        <v>787</v>
      </c>
      <c r="F112" t="s">
        <v>792</v>
      </c>
      <c r="G112" t="s">
        <v>911</v>
      </c>
      <c r="H112">
        <v>1096.25</v>
      </c>
      <c r="I112">
        <v>4</v>
      </c>
      <c r="J112">
        <v>0.15</v>
      </c>
      <c r="K112">
        <v>-47.16</v>
      </c>
      <c r="L112" t="s">
        <v>1291</v>
      </c>
      <c r="M112" s="6">
        <f t="shared" si="3"/>
        <v>-4.3019384264538198E-2</v>
      </c>
      <c r="N112" s="6" t="str" cm="1">
        <f t="array" ref="N112">_xlfn.IFS('Data Cleaning &amp; Transf'!H112&lt;500,"LOW",AND('Data Cleaning &amp; Transf'!H112 &gt;500,'Data Cleaning &amp; Transf'!H112&lt;1000),"Medium",'Data Cleaning &amp; Transf'!H112&gt;1000,"High")</f>
        <v>High</v>
      </c>
    </row>
    <row r="113" spans="1:14" x14ac:dyDescent="0.3">
      <c r="A113" t="s">
        <v>122</v>
      </c>
      <c r="B113" s="2" t="s">
        <v>608</v>
      </c>
      <c r="C113" s="9" t="str">
        <f t="shared" si="2"/>
        <v>06-2023</v>
      </c>
      <c r="D113" t="s">
        <v>786</v>
      </c>
      <c r="E113" t="s">
        <v>789</v>
      </c>
      <c r="F113" t="s">
        <v>799</v>
      </c>
      <c r="G113" t="s">
        <v>912</v>
      </c>
      <c r="H113">
        <v>789.85</v>
      </c>
      <c r="I113">
        <v>8</v>
      </c>
      <c r="J113">
        <v>0.1</v>
      </c>
      <c r="K113">
        <v>138.87</v>
      </c>
      <c r="L113" t="s">
        <v>1290</v>
      </c>
      <c r="M113" s="6">
        <f t="shared" si="3"/>
        <v>0.17581819332784707</v>
      </c>
      <c r="N113" s="6" t="str" cm="1">
        <f t="array" ref="N113">_xlfn.IFS('Data Cleaning &amp; Transf'!H113&lt;500,"LOW",AND('Data Cleaning &amp; Transf'!H113 &gt;500,'Data Cleaning &amp; Transf'!H113&lt;1000),"Medium",'Data Cleaning &amp; Transf'!H113&gt;1000,"High")</f>
        <v>Medium</v>
      </c>
    </row>
    <row r="114" spans="1:14" x14ac:dyDescent="0.3">
      <c r="A114" t="s">
        <v>123</v>
      </c>
      <c r="B114" s="2" t="s">
        <v>609</v>
      </c>
      <c r="C114" s="9" t="str">
        <f t="shared" si="2"/>
        <v>09-2023</v>
      </c>
      <c r="D114" t="s">
        <v>784</v>
      </c>
      <c r="E114" t="s">
        <v>789</v>
      </c>
      <c r="F114" t="s">
        <v>794</v>
      </c>
      <c r="G114" t="s">
        <v>913</v>
      </c>
      <c r="H114">
        <v>1647.24</v>
      </c>
      <c r="I114">
        <v>9</v>
      </c>
      <c r="J114">
        <v>0.05</v>
      </c>
      <c r="K114">
        <v>393.14</v>
      </c>
      <c r="L114" t="s">
        <v>1289</v>
      </c>
      <c r="M114" s="6">
        <f t="shared" si="3"/>
        <v>0.23866588960928584</v>
      </c>
      <c r="N114" s="6" t="str" cm="1">
        <f t="array" ref="N114">_xlfn.IFS('Data Cleaning &amp; Transf'!H114&lt;500,"LOW",AND('Data Cleaning &amp; Transf'!H114 &gt;500,'Data Cleaning &amp; Transf'!H114&lt;1000),"Medium",'Data Cleaning &amp; Transf'!H114&gt;1000,"High")</f>
        <v>High</v>
      </c>
    </row>
    <row r="115" spans="1:14" x14ac:dyDescent="0.3">
      <c r="A115" t="s">
        <v>124</v>
      </c>
      <c r="B115" s="2" t="s">
        <v>535</v>
      </c>
      <c r="C115" s="9" t="str">
        <f t="shared" si="2"/>
        <v>06-2023</v>
      </c>
      <c r="D115" t="s">
        <v>783</v>
      </c>
      <c r="E115" t="s">
        <v>789</v>
      </c>
      <c r="F115" t="s">
        <v>799</v>
      </c>
      <c r="G115" t="s">
        <v>914</v>
      </c>
      <c r="H115">
        <v>660.73</v>
      </c>
      <c r="I115">
        <v>2</v>
      </c>
      <c r="J115">
        <v>0.1</v>
      </c>
      <c r="K115">
        <v>15.36</v>
      </c>
      <c r="L115" t="s">
        <v>1290</v>
      </c>
      <c r="M115" s="6">
        <f t="shared" si="3"/>
        <v>2.324701466559714E-2</v>
      </c>
      <c r="N115" s="6" t="str" cm="1">
        <f t="array" ref="N115">_xlfn.IFS('Data Cleaning &amp; Transf'!H115&lt;500,"LOW",AND('Data Cleaning &amp; Transf'!H115 &gt;500,'Data Cleaning &amp; Transf'!H115&lt;1000),"Medium",'Data Cleaning &amp; Transf'!H115&gt;1000,"High")</f>
        <v>Medium</v>
      </c>
    </row>
    <row r="116" spans="1:14" x14ac:dyDescent="0.3">
      <c r="A116" t="s">
        <v>125</v>
      </c>
      <c r="B116" s="2" t="s">
        <v>610</v>
      </c>
      <c r="C116" s="9" t="str">
        <f t="shared" si="2"/>
        <v>05-2023</v>
      </c>
      <c r="D116" t="s">
        <v>784</v>
      </c>
      <c r="E116" t="s">
        <v>787</v>
      </c>
      <c r="F116" t="s">
        <v>800</v>
      </c>
      <c r="G116" t="s">
        <v>915</v>
      </c>
      <c r="H116">
        <v>746.29</v>
      </c>
      <c r="I116">
        <v>2</v>
      </c>
      <c r="J116">
        <v>0.2</v>
      </c>
      <c r="K116">
        <v>1.91</v>
      </c>
      <c r="L116" t="s">
        <v>1289</v>
      </c>
      <c r="M116" s="6">
        <f t="shared" si="3"/>
        <v>2.5593268032534271E-3</v>
      </c>
      <c r="N116" s="6" t="str" cm="1">
        <f t="array" ref="N116">_xlfn.IFS('Data Cleaning &amp; Transf'!H116&lt;500,"LOW",AND('Data Cleaning &amp; Transf'!H116 &gt;500,'Data Cleaning &amp; Transf'!H116&lt;1000),"Medium",'Data Cleaning &amp; Transf'!H116&gt;1000,"High")</f>
        <v>Medium</v>
      </c>
    </row>
    <row r="117" spans="1:14" x14ac:dyDescent="0.3">
      <c r="A117" t="s">
        <v>126</v>
      </c>
      <c r="B117" s="2" t="s">
        <v>611</v>
      </c>
      <c r="C117" s="9" t="str">
        <f t="shared" si="2"/>
        <v>07-2023</v>
      </c>
      <c r="D117" t="s">
        <v>786</v>
      </c>
      <c r="E117" t="s">
        <v>788</v>
      </c>
      <c r="F117" t="s">
        <v>795</v>
      </c>
      <c r="G117" t="s">
        <v>916</v>
      </c>
      <c r="H117">
        <v>744.74</v>
      </c>
      <c r="I117">
        <v>3</v>
      </c>
      <c r="J117">
        <v>0.2</v>
      </c>
      <c r="K117">
        <v>33.159999999999997</v>
      </c>
      <c r="L117" t="s">
        <v>1290</v>
      </c>
      <c r="M117" s="6">
        <f t="shared" si="3"/>
        <v>4.4525606251846275E-2</v>
      </c>
      <c r="N117" s="6" t="str" cm="1">
        <f t="array" ref="N117">_xlfn.IFS('Data Cleaning &amp; Transf'!H117&lt;500,"LOW",AND('Data Cleaning &amp; Transf'!H117 &gt;500,'Data Cleaning &amp; Transf'!H117&lt;1000),"Medium",'Data Cleaning &amp; Transf'!H117&gt;1000,"High")</f>
        <v>Medium</v>
      </c>
    </row>
    <row r="118" spans="1:14" x14ac:dyDescent="0.3">
      <c r="A118" t="s">
        <v>127</v>
      </c>
      <c r="B118" s="2" t="s">
        <v>612</v>
      </c>
      <c r="C118" s="9" t="str">
        <f t="shared" si="2"/>
        <v>03-2023</v>
      </c>
      <c r="D118" t="s">
        <v>783</v>
      </c>
      <c r="E118" t="s">
        <v>787</v>
      </c>
      <c r="F118" t="s">
        <v>790</v>
      </c>
      <c r="G118" t="s">
        <v>917</v>
      </c>
      <c r="H118">
        <v>698.66</v>
      </c>
      <c r="I118">
        <v>4</v>
      </c>
      <c r="J118">
        <v>0</v>
      </c>
      <c r="K118">
        <v>184.2</v>
      </c>
      <c r="L118" t="s">
        <v>1289</v>
      </c>
      <c r="M118" s="6">
        <f t="shared" si="3"/>
        <v>0.26364755388887295</v>
      </c>
      <c r="N118" s="6" t="str" cm="1">
        <f t="array" ref="N118">_xlfn.IFS('Data Cleaning &amp; Transf'!H118&lt;500,"LOW",AND('Data Cleaning &amp; Transf'!H118 &gt;500,'Data Cleaning &amp; Transf'!H118&lt;1000),"Medium",'Data Cleaning &amp; Transf'!H118&gt;1000,"High")</f>
        <v>Medium</v>
      </c>
    </row>
    <row r="119" spans="1:14" x14ac:dyDescent="0.3">
      <c r="A119" t="s">
        <v>128</v>
      </c>
      <c r="B119" s="2" t="s">
        <v>613</v>
      </c>
      <c r="C119" s="9" t="str">
        <f t="shared" si="2"/>
        <v>01-2023</v>
      </c>
      <c r="D119" t="s">
        <v>783</v>
      </c>
      <c r="E119" t="s">
        <v>787</v>
      </c>
      <c r="F119" t="s">
        <v>800</v>
      </c>
      <c r="G119" t="s">
        <v>918</v>
      </c>
      <c r="H119">
        <v>660.28</v>
      </c>
      <c r="I119">
        <v>1</v>
      </c>
      <c r="J119">
        <v>0.15</v>
      </c>
      <c r="K119">
        <v>-30.34</v>
      </c>
      <c r="L119" t="s">
        <v>1290</v>
      </c>
      <c r="M119" s="6">
        <f t="shared" si="3"/>
        <v>-4.5950202944205487E-2</v>
      </c>
      <c r="N119" s="6" t="str" cm="1">
        <f t="array" ref="N119">_xlfn.IFS('Data Cleaning &amp; Transf'!H119&lt;500,"LOW",AND('Data Cleaning &amp; Transf'!H119 &gt;500,'Data Cleaning &amp; Transf'!H119&lt;1000),"Medium",'Data Cleaning &amp; Transf'!H119&gt;1000,"High")</f>
        <v>Medium</v>
      </c>
    </row>
    <row r="120" spans="1:14" x14ac:dyDescent="0.3">
      <c r="A120" t="s">
        <v>129</v>
      </c>
      <c r="B120" s="2" t="s">
        <v>560</v>
      </c>
      <c r="C120" s="9" t="str">
        <f t="shared" si="2"/>
        <v>06-2023</v>
      </c>
      <c r="D120" t="s">
        <v>784</v>
      </c>
      <c r="E120" t="s">
        <v>787</v>
      </c>
      <c r="F120" t="s">
        <v>792</v>
      </c>
      <c r="G120" t="s">
        <v>919</v>
      </c>
      <c r="H120">
        <v>90.76</v>
      </c>
      <c r="I120">
        <v>5</v>
      </c>
      <c r="J120">
        <v>0.05</v>
      </c>
      <c r="K120">
        <v>12.87</v>
      </c>
      <c r="L120" t="s">
        <v>1291</v>
      </c>
      <c r="M120" s="6">
        <f t="shared" si="3"/>
        <v>0.14180255619215512</v>
      </c>
      <c r="N120" s="6" t="str" cm="1">
        <f t="array" ref="N120">_xlfn.IFS('Data Cleaning &amp; Transf'!H120&lt;500,"LOW",AND('Data Cleaning &amp; Transf'!H120 &gt;500,'Data Cleaning &amp; Transf'!H120&lt;1000),"Medium",'Data Cleaning &amp; Transf'!H120&gt;1000,"High")</f>
        <v>LOW</v>
      </c>
    </row>
    <row r="121" spans="1:14" x14ac:dyDescent="0.3">
      <c r="A121" t="s">
        <v>130</v>
      </c>
      <c r="B121" s="2" t="s">
        <v>614</v>
      </c>
      <c r="C121" s="9" t="str">
        <f t="shared" si="2"/>
        <v>01-2023</v>
      </c>
      <c r="D121" t="s">
        <v>783</v>
      </c>
      <c r="E121" t="s">
        <v>789</v>
      </c>
      <c r="F121" t="s">
        <v>794</v>
      </c>
      <c r="G121" t="s">
        <v>920</v>
      </c>
      <c r="H121">
        <v>124.45</v>
      </c>
      <c r="I121">
        <v>6</v>
      </c>
      <c r="J121">
        <v>0</v>
      </c>
      <c r="K121">
        <v>21.07</v>
      </c>
      <c r="L121" t="s">
        <v>1291</v>
      </c>
      <c r="M121" s="6">
        <f t="shared" si="3"/>
        <v>0.16930494174367217</v>
      </c>
      <c r="N121" s="6" t="str" cm="1">
        <f t="array" ref="N121">_xlfn.IFS('Data Cleaning &amp; Transf'!H121&lt;500,"LOW",AND('Data Cleaning &amp; Transf'!H121 &gt;500,'Data Cleaning &amp; Transf'!H121&lt;1000),"Medium",'Data Cleaning &amp; Transf'!H121&gt;1000,"High")</f>
        <v>LOW</v>
      </c>
    </row>
    <row r="122" spans="1:14" x14ac:dyDescent="0.3">
      <c r="A122" t="s">
        <v>131</v>
      </c>
      <c r="B122" s="2" t="s">
        <v>615</v>
      </c>
      <c r="C122" s="9" t="str">
        <f t="shared" si="2"/>
        <v>10-2023</v>
      </c>
      <c r="D122" t="s">
        <v>784</v>
      </c>
      <c r="E122" t="s">
        <v>788</v>
      </c>
      <c r="F122" t="s">
        <v>793</v>
      </c>
      <c r="G122" t="s">
        <v>921</v>
      </c>
      <c r="H122">
        <v>1141.68</v>
      </c>
      <c r="I122">
        <v>8</v>
      </c>
      <c r="J122">
        <v>0</v>
      </c>
      <c r="K122">
        <v>79.59</v>
      </c>
      <c r="L122" t="s">
        <v>1290</v>
      </c>
      <c r="M122" s="6">
        <f t="shared" si="3"/>
        <v>6.9713054446079462E-2</v>
      </c>
      <c r="N122" s="6" t="str" cm="1">
        <f t="array" ref="N122">_xlfn.IFS('Data Cleaning &amp; Transf'!H122&lt;500,"LOW",AND('Data Cleaning &amp; Transf'!H122 &gt;500,'Data Cleaning &amp; Transf'!H122&lt;1000),"Medium",'Data Cleaning &amp; Transf'!H122&gt;1000,"High")</f>
        <v>High</v>
      </c>
    </row>
    <row r="123" spans="1:14" x14ac:dyDescent="0.3">
      <c r="A123" t="s">
        <v>132</v>
      </c>
      <c r="B123" s="2" t="s">
        <v>613</v>
      </c>
      <c r="C123" s="9" t="str">
        <f t="shared" si="2"/>
        <v>01-2023</v>
      </c>
      <c r="D123" t="s">
        <v>785</v>
      </c>
      <c r="E123" t="s">
        <v>789</v>
      </c>
      <c r="F123" t="s">
        <v>797</v>
      </c>
      <c r="G123" t="s">
        <v>922</v>
      </c>
      <c r="H123">
        <v>1598.76</v>
      </c>
      <c r="I123">
        <v>10</v>
      </c>
      <c r="J123">
        <v>0.05</v>
      </c>
      <c r="K123">
        <v>200.69</v>
      </c>
      <c r="L123" t="s">
        <v>1290</v>
      </c>
      <c r="M123" s="6">
        <f t="shared" si="3"/>
        <v>0.12552853461432611</v>
      </c>
      <c r="N123" s="6" t="str" cm="1">
        <f t="array" ref="N123">_xlfn.IFS('Data Cleaning &amp; Transf'!H123&lt;500,"LOW",AND('Data Cleaning &amp; Transf'!H123 &gt;500,'Data Cleaning &amp; Transf'!H123&lt;1000),"Medium",'Data Cleaning &amp; Transf'!H123&gt;1000,"High")</f>
        <v>High</v>
      </c>
    </row>
    <row r="124" spans="1:14" x14ac:dyDescent="0.3">
      <c r="A124" t="s">
        <v>133</v>
      </c>
      <c r="B124" s="2" t="s">
        <v>616</v>
      </c>
      <c r="C124" s="9" t="str">
        <f t="shared" si="2"/>
        <v>09-2023</v>
      </c>
      <c r="D124" t="s">
        <v>784</v>
      </c>
      <c r="E124" t="s">
        <v>789</v>
      </c>
      <c r="F124" t="s">
        <v>797</v>
      </c>
      <c r="G124" t="s">
        <v>923</v>
      </c>
      <c r="H124">
        <v>80.27</v>
      </c>
      <c r="I124">
        <v>7</v>
      </c>
      <c r="J124">
        <v>0.05</v>
      </c>
      <c r="K124">
        <v>14.72</v>
      </c>
      <c r="L124" t="s">
        <v>1290</v>
      </c>
      <c r="M124" s="6">
        <f t="shared" si="3"/>
        <v>0.18338108882521492</v>
      </c>
      <c r="N124" s="6" t="str" cm="1">
        <f t="array" ref="N124">_xlfn.IFS('Data Cleaning &amp; Transf'!H124&lt;500,"LOW",AND('Data Cleaning &amp; Transf'!H124 &gt;500,'Data Cleaning &amp; Transf'!H124&lt;1000),"Medium",'Data Cleaning &amp; Transf'!H124&gt;1000,"High")</f>
        <v>LOW</v>
      </c>
    </row>
    <row r="125" spans="1:14" x14ac:dyDescent="0.3">
      <c r="A125" t="s">
        <v>134</v>
      </c>
      <c r="B125" s="2" t="s">
        <v>617</v>
      </c>
      <c r="C125" s="9" t="str">
        <f t="shared" si="2"/>
        <v>04-2023</v>
      </c>
      <c r="D125" t="s">
        <v>786</v>
      </c>
      <c r="E125" t="s">
        <v>788</v>
      </c>
      <c r="F125" t="s">
        <v>793</v>
      </c>
      <c r="G125" t="s">
        <v>924</v>
      </c>
      <c r="H125">
        <v>264.51</v>
      </c>
      <c r="I125">
        <v>5</v>
      </c>
      <c r="J125">
        <v>0.15</v>
      </c>
      <c r="K125">
        <v>13.05</v>
      </c>
      <c r="L125" t="s">
        <v>1289</v>
      </c>
      <c r="M125" s="6">
        <f t="shared" si="3"/>
        <v>4.9336509016672345E-2</v>
      </c>
      <c r="N125" s="6" t="str" cm="1">
        <f t="array" ref="N125">_xlfn.IFS('Data Cleaning &amp; Transf'!H125&lt;500,"LOW",AND('Data Cleaning &amp; Transf'!H125 &gt;500,'Data Cleaning &amp; Transf'!H125&lt;1000),"Medium",'Data Cleaning &amp; Transf'!H125&gt;1000,"High")</f>
        <v>LOW</v>
      </c>
    </row>
    <row r="126" spans="1:14" x14ac:dyDescent="0.3">
      <c r="A126" t="s">
        <v>135</v>
      </c>
      <c r="B126" s="2" t="s">
        <v>591</v>
      </c>
      <c r="C126" s="9" t="str">
        <f t="shared" si="2"/>
        <v>12-2023</v>
      </c>
      <c r="D126" t="s">
        <v>785</v>
      </c>
      <c r="E126" t="s">
        <v>789</v>
      </c>
      <c r="F126" t="s">
        <v>797</v>
      </c>
      <c r="G126" t="s">
        <v>925</v>
      </c>
      <c r="H126">
        <v>282.92</v>
      </c>
      <c r="I126">
        <v>9</v>
      </c>
      <c r="J126">
        <v>0.15</v>
      </c>
      <c r="K126">
        <v>29.84</v>
      </c>
      <c r="L126" t="s">
        <v>1290</v>
      </c>
      <c r="M126" s="6">
        <f t="shared" si="3"/>
        <v>0.1054715113813092</v>
      </c>
      <c r="N126" s="6" t="str" cm="1">
        <f t="array" ref="N126">_xlfn.IFS('Data Cleaning &amp; Transf'!H126&lt;500,"LOW",AND('Data Cleaning &amp; Transf'!H126 &gt;500,'Data Cleaning &amp; Transf'!H126&lt;1000),"Medium",'Data Cleaning &amp; Transf'!H126&gt;1000,"High")</f>
        <v>LOW</v>
      </c>
    </row>
    <row r="127" spans="1:14" x14ac:dyDescent="0.3">
      <c r="A127" t="s">
        <v>136</v>
      </c>
      <c r="B127" s="2" t="s">
        <v>618</v>
      </c>
      <c r="C127" s="9" t="str">
        <f t="shared" si="2"/>
        <v>12-2023</v>
      </c>
      <c r="D127" t="s">
        <v>785</v>
      </c>
      <c r="E127" t="s">
        <v>789</v>
      </c>
      <c r="F127" t="s">
        <v>797</v>
      </c>
      <c r="G127" t="s">
        <v>926</v>
      </c>
      <c r="H127">
        <v>1543.21</v>
      </c>
      <c r="I127">
        <v>1</v>
      </c>
      <c r="J127">
        <v>0.2</v>
      </c>
      <c r="K127">
        <v>-11.79</v>
      </c>
      <c r="L127" t="s">
        <v>1290</v>
      </c>
      <c r="M127" s="6">
        <f t="shared" si="3"/>
        <v>-7.6399193888064482E-3</v>
      </c>
      <c r="N127" s="6" t="str" cm="1">
        <f t="array" ref="N127">_xlfn.IFS('Data Cleaning &amp; Transf'!H127&lt;500,"LOW",AND('Data Cleaning &amp; Transf'!H127 &gt;500,'Data Cleaning &amp; Transf'!H127&lt;1000),"Medium",'Data Cleaning &amp; Transf'!H127&gt;1000,"High")</f>
        <v>High</v>
      </c>
    </row>
    <row r="128" spans="1:14" x14ac:dyDescent="0.3">
      <c r="A128" t="s">
        <v>137</v>
      </c>
      <c r="B128" s="2" t="s">
        <v>570</v>
      </c>
      <c r="C128" s="9" t="str">
        <f t="shared" si="2"/>
        <v>02-2023</v>
      </c>
      <c r="D128" t="s">
        <v>783</v>
      </c>
      <c r="E128" t="s">
        <v>788</v>
      </c>
      <c r="F128" t="s">
        <v>791</v>
      </c>
      <c r="G128" t="s">
        <v>927</v>
      </c>
      <c r="H128">
        <v>1117.78</v>
      </c>
      <c r="I128">
        <v>3</v>
      </c>
      <c r="J128">
        <v>0.05</v>
      </c>
      <c r="K128">
        <v>227.28</v>
      </c>
      <c r="L128" t="s">
        <v>1291</v>
      </c>
      <c r="M128" s="6">
        <f t="shared" si="3"/>
        <v>0.20333160371450554</v>
      </c>
      <c r="N128" s="6" t="str" cm="1">
        <f t="array" ref="N128">_xlfn.IFS('Data Cleaning &amp; Transf'!H128&lt;500,"LOW",AND('Data Cleaning &amp; Transf'!H128 &gt;500,'Data Cleaning &amp; Transf'!H128&lt;1000),"Medium",'Data Cleaning &amp; Transf'!H128&gt;1000,"High")</f>
        <v>High</v>
      </c>
    </row>
    <row r="129" spans="1:14" x14ac:dyDescent="0.3">
      <c r="A129" t="s">
        <v>138</v>
      </c>
      <c r="B129" s="2" t="s">
        <v>619</v>
      </c>
      <c r="C129" s="9" t="str">
        <f t="shared" si="2"/>
        <v>07-2023</v>
      </c>
      <c r="D129" t="s">
        <v>785</v>
      </c>
      <c r="E129" t="s">
        <v>789</v>
      </c>
      <c r="F129" t="s">
        <v>799</v>
      </c>
      <c r="G129" t="s">
        <v>928</v>
      </c>
      <c r="H129">
        <v>1704.61</v>
      </c>
      <c r="I129">
        <v>2</v>
      </c>
      <c r="J129">
        <v>0.15</v>
      </c>
      <c r="K129">
        <v>1.19</v>
      </c>
      <c r="L129" t="s">
        <v>1289</v>
      </c>
      <c r="M129" s="6">
        <f t="shared" si="3"/>
        <v>6.9810689835211577E-4</v>
      </c>
      <c r="N129" s="6" t="str" cm="1">
        <f t="array" ref="N129">_xlfn.IFS('Data Cleaning &amp; Transf'!H129&lt;500,"LOW",AND('Data Cleaning &amp; Transf'!H129 &gt;500,'Data Cleaning &amp; Transf'!H129&lt;1000),"Medium",'Data Cleaning &amp; Transf'!H129&gt;1000,"High")</f>
        <v>High</v>
      </c>
    </row>
    <row r="130" spans="1:14" x14ac:dyDescent="0.3">
      <c r="A130" t="s">
        <v>139</v>
      </c>
      <c r="B130" s="2" t="s">
        <v>553</v>
      </c>
      <c r="C130" s="9" t="str">
        <f t="shared" si="2"/>
        <v>12-2023</v>
      </c>
      <c r="D130" t="s">
        <v>786</v>
      </c>
      <c r="E130" t="s">
        <v>787</v>
      </c>
      <c r="F130" t="s">
        <v>790</v>
      </c>
      <c r="G130" t="s">
        <v>929</v>
      </c>
      <c r="H130">
        <v>63.92</v>
      </c>
      <c r="I130">
        <v>6</v>
      </c>
      <c r="J130">
        <v>0.1</v>
      </c>
      <c r="K130">
        <v>0.73</v>
      </c>
      <c r="L130" t="s">
        <v>1289</v>
      </c>
      <c r="M130" s="6">
        <f t="shared" si="3"/>
        <v>1.1420525657071339E-2</v>
      </c>
      <c r="N130" s="6" t="str" cm="1">
        <f t="array" ref="N130">_xlfn.IFS('Data Cleaning &amp; Transf'!H130&lt;500,"LOW",AND('Data Cleaning &amp; Transf'!H130 &gt;500,'Data Cleaning &amp; Transf'!H130&lt;1000),"Medium",'Data Cleaning &amp; Transf'!H130&gt;1000,"High")</f>
        <v>LOW</v>
      </c>
    </row>
    <row r="131" spans="1:14" x14ac:dyDescent="0.3">
      <c r="A131" t="s">
        <v>140</v>
      </c>
      <c r="B131" s="2" t="s">
        <v>616</v>
      </c>
      <c r="C131" s="9" t="str">
        <f t="shared" ref="C131:C194" si="4">TEXT(B131,"MM-YYYY")</f>
        <v>09-2023</v>
      </c>
      <c r="D131" t="s">
        <v>786</v>
      </c>
      <c r="E131" t="s">
        <v>787</v>
      </c>
      <c r="F131" t="s">
        <v>800</v>
      </c>
      <c r="G131" t="s">
        <v>930</v>
      </c>
      <c r="H131">
        <v>1592.66</v>
      </c>
      <c r="I131">
        <v>7</v>
      </c>
      <c r="J131">
        <v>0.05</v>
      </c>
      <c r="K131">
        <v>302.2</v>
      </c>
      <c r="L131" t="s">
        <v>1291</v>
      </c>
      <c r="M131" s="6">
        <f t="shared" ref="M131:M194" si="5">K131/H131</f>
        <v>0.18974545728529629</v>
      </c>
      <c r="N131" s="6" t="str" cm="1">
        <f t="array" ref="N131">_xlfn.IFS('Data Cleaning &amp; Transf'!H131&lt;500,"LOW",AND('Data Cleaning &amp; Transf'!H131 &gt;500,'Data Cleaning &amp; Transf'!H131&lt;1000),"Medium",'Data Cleaning &amp; Transf'!H131&gt;1000,"High")</f>
        <v>High</v>
      </c>
    </row>
    <row r="132" spans="1:14" x14ac:dyDescent="0.3">
      <c r="A132" t="s">
        <v>141</v>
      </c>
      <c r="B132" s="2" t="s">
        <v>620</v>
      </c>
      <c r="C132" s="9" t="str">
        <f t="shared" si="4"/>
        <v>02-2023</v>
      </c>
      <c r="D132" t="s">
        <v>786</v>
      </c>
      <c r="E132" t="s">
        <v>789</v>
      </c>
      <c r="F132" t="s">
        <v>798</v>
      </c>
      <c r="G132" t="s">
        <v>931</v>
      </c>
      <c r="H132">
        <v>1946.61</v>
      </c>
      <c r="I132">
        <v>10</v>
      </c>
      <c r="J132">
        <v>0.15</v>
      </c>
      <c r="K132">
        <v>65.09</v>
      </c>
      <c r="L132" t="s">
        <v>1291</v>
      </c>
      <c r="M132" s="6">
        <f t="shared" si="5"/>
        <v>3.343761719091138E-2</v>
      </c>
      <c r="N132" s="6" t="str" cm="1">
        <f t="array" ref="N132">_xlfn.IFS('Data Cleaning &amp; Transf'!H132&lt;500,"LOW",AND('Data Cleaning &amp; Transf'!H132 &gt;500,'Data Cleaning &amp; Transf'!H132&lt;1000),"Medium",'Data Cleaning &amp; Transf'!H132&gt;1000,"High")</f>
        <v>High</v>
      </c>
    </row>
    <row r="133" spans="1:14" x14ac:dyDescent="0.3">
      <c r="A133" t="s">
        <v>142</v>
      </c>
      <c r="B133" s="2" t="s">
        <v>528</v>
      </c>
      <c r="C133" s="9" t="str">
        <f t="shared" si="4"/>
        <v>07-2023</v>
      </c>
      <c r="D133" t="s">
        <v>784</v>
      </c>
      <c r="E133" t="s">
        <v>788</v>
      </c>
      <c r="F133" t="s">
        <v>796</v>
      </c>
      <c r="G133" t="s">
        <v>932</v>
      </c>
      <c r="H133">
        <v>1626.31</v>
      </c>
      <c r="I133">
        <v>2</v>
      </c>
      <c r="J133">
        <v>0</v>
      </c>
      <c r="K133">
        <v>163.02000000000001</v>
      </c>
      <c r="L133" t="s">
        <v>1291</v>
      </c>
      <c r="M133" s="6">
        <f t="shared" si="5"/>
        <v>0.10023919179000315</v>
      </c>
      <c r="N133" s="6" t="str" cm="1">
        <f t="array" ref="N133">_xlfn.IFS('Data Cleaning &amp; Transf'!H133&lt;500,"LOW",AND('Data Cleaning &amp; Transf'!H133 &gt;500,'Data Cleaning &amp; Transf'!H133&lt;1000),"Medium",'Data Cleaning &amp; Transf'!H133&gt;1000,"High")</f>
        <v>High</v>
      </c>
    </row>
    <row r="134" spans="1:14" x14ac:dyDescent="0.3">
      <c r="A134" t="s">
        <v>143</v>
      </c>
      <c r="B134" s="2" t="s">
        <v>621</v>
      </c>
      <c r="C134" s="9" t="str">
        <f t="shared" si="4"/>
        <v>08-2023</v>
      </c>
      <c r="D134" t="s">
        <v>783</v>
      </c>
      <c r="E134" t="s">
        <v>787</v>
      </c>
      <c r="F134" t="s">
        <v>792</v>
      </c>
      <c r="G134" t="s">
        <v>933</v>
      </c>
      <c r="H134">
        <v>134.72999999999999</v>
      </c>
      <c r="I134">
        <v>2</v>
      </c>
      <c r="J134">
        <v>0.2</v>
      </c>
      <c r="K134">
        <v>-7.38</v>
      </c>
      <c r="L134" t="s">
        <v>1290</v>
      </c>
      <c r="M134" s="6">
        <f t="shared" si="5"/>
        <v>-5.4776219104876421E-2</v>
      </c>
      <c r="N134" s="6" t="str" cm="1">
        <f t="array" ref="N134">_xlfn.IFS('Data Cleaning &amp; Transf'!H134&lt;500,"LOW",AND('Data Cleaning &amp; Transf'!H134 &gt;500,'Data Cleaning &amp; Transf'!H134&lt;1000),"Medium",'Data Cleaning &amp; Transf'!H134&gt;1000,"High")</f>
        <v>LOW</v>
      </c>
    </row>
    <row r="135" spans="1:14" x14ac:dyDescent="0.3">
      <c r="A135" t="s">
        <v>144</v>
      </c>
      <c r="B135" s="2" t="s">
        <v>622</v>
      </c>
      <c r="C135" s="9" t="str">
        <f t="shared" si="4"/>
        <v>03-2023</v>
      </c>
      <c r="D135" t="s">
        <v>786</v>
      </c>
      <c r="E135" t="s">
        <v>789</v>
      </c>
      <c r="F135" t="s">
        <v>799</v>
      </c>
      <c r="G135" t="s">
        <v>934</v>
      </c>
      <c r="H135">
        <v>624.4</v>
      </c>
      <c r="I135">
        <v>5</v>
      </c>
      <c r="J135">
        <v>0</v>
      </c>
      <c r="K135">
        <v>180</v>
      </c>
      <c r="L135" t="s">
        <v>1290</v>
      </c>
      <c r="M135" s="6">
        <f t="shared" si="5"/>
        <v>0.28827674567584882</v>
      </c>
      <c r="N135" s="6" t="str" cm="1">
        <f t="array" ref="N135">_xlfn.IFS('Data Cleaning &amp; Transf'!H135&lt;500,"LOW",AND('Data Cleaning &amp; Transf'!H135 &gt;500,'Data Cleaning &amp; Transf'!H135&lt;1000),"Medium",'Data Cleaning &amp; Transf'!H135&gt;1000,"High")</f>
        <v>Medium</v>
      </c>
    </row>
    <row r="136" spans="1:14" x14ac:dyDescent="0.3">
      <c r="A136" t="s">
        <v>145</v>
      </c>
      <c r="B136" s="2" t="s">
        <v>623</v>
      </c>
      <c r="C136" s="9" t="str">
        <f t="shared" si="4"/>
        <v>09-2023</v>
      </c>
      <c r="D136" t="s">
        <v>786</v>
      </c>
      <c r="E136" t="s">
        <v>789</v>
      </c>
      <c r="F136" t="s">
        <v>799</v>
      </c>
      <c r="G136" t="s">
        <v>935</v>
      </c>
      <c r="H136">
        <v>1413.84</v>
      </c>
      <c r="I136">
        <v>6</v>
      </c>
      <c r="J136">
        <v>0.15</v>
      </c>
      <c r="K136">
        <v>-12.02</v>
      </c>
      <c r="L136" t="s">
        <v>1291</v>
      </c>
      <c r="M136" s="6">
        <f t="shared" si="5"/>
        <v>-8.5016692129236699E-3</v>
      </c>
      <c r="N136" s="6" t="str" cm="1">
        <f t="array" ref="N136">_xlfn.IFS('Data Cleaning &amp; Transf'!H136&lt;500,"LOW",AND('Data Cleaning &amp; Transf'!H136 &gt;500,'Data Cleaning &amp; Transf'!H136&lt;1000),"Medium",'Data Cleaning &amp; Transf'!H136&gt;1000,"High")</f>
        <v>High</v>
      </c>
    </row>
    <row r="137" spans="1:14" x14ac:dyDescent="0.3">
      <c r="A137" t="s">
        <v>146</v>
      </c>
      <c r="B137" s="2" t="s">
        <v>576</v>
      </c>
      <c r="C137" s="9" t="str">
        <f t="shared" si="4"/>
        <v>09-2023</v>
      </c>
      <c r="D137" t="s">
        <v>784</v>
      </c>
      <c r="E137" t="s">
        <v>787</v>
      </c>
      <c r="F137" t="s">
        <v>801</v>
      </c>
      <c r="G137" t="s">
        <v>936</v>
      </c>
      <c r="H137">
        <v>207.11</v>
      </c>
      <c r="I137">
        <v>2</v>
      </c>
      <c r="J137">
        <v>0.05</v>
      </c>
      <c r="K137">
        <v>24.23</v>
      </c>
      <c r="L137" t="s">
        <v>1290</v>
      </c>
      <c r="M137" s="6">
        <f t="shared" si="5"/>
        <v>0.11699097098160398</v>
      </c>
      <c r="N137" s="6" t="str" cm="1">
        <f t="array" ref="N137">_xlfn.IFS('Data Cleaning &amp; Transf'!H137&lt;500,"LOW",AND('Data Cleaning &amp; Transf'!H137 &gt;500,'Data Cleaning &amp; Transf'!H137&lt;1000),"Medium",'Data Cleaning &amp; Transf'!H137&gt;1000,"High")</f>
        <v>LOW</v>
      </c>
    </row>
    <row r="138" spans="1:14" x14ac:dyDescent="0.3">
      <c r="A138" t="s">
        <v>147</v>
      </c>
      <c r="B138" s="2" t="s">
        <v>624</v>
      </c>
      <c r="C138" s="9" t="str">
        <f t="shared" si="4"/>
        <v>11-2023</v>
      </c>
      <c r="D138" t="s">
        <v>783</v>
      </c>
      <c r="E138" t="s">
        <v>788</v>
      </c>
      <c r="F138" t="s">
        <v>791</v>
      </c>
      <c r="G138" t="s">
        <v>937</v>
      </c>
      <c r="H138">
        <v>1446.14</v>
      </c>
      <c r="I138">
        <v>4</v>
      </c>
      <c r="J138">
        <v>0.15</v>
      </c>
      <c r="K138">
        <v>185.1</v>
      </c>
      <c r="L138" t="s">
        <v>1289</v>
      </c>
      <c r="M138" s="6">
        <f t="shared" si="5"/>
        <v>0.12799590634378413</v>
      </c>
      <c r="N138" s="6" t="str" cm="1">
        <f t="array" ref="N138">_xlfn.IFS('Data Cleaning &amp; Transf'!H138&lt;500,"LOW",AND('Data Cleaning &amp; Transf'!H138 &gt;500,'Data Cleaning &amp; Transf'!H138&lt;1000),"Medium",'Data Cleaning &amp; Transf'!H138&gt;1000,"High")</f>
        <v>High</v>
      </c>
    </row>
    <row r="139" spans="1:14" x14ac:dyDescent="0.3">
      <c r="A139" t="s">
        <v>148</v>
      </c>
      <c r="B139" s="2" t="s">
        <v>625</v>
      </c>
      <c r="C139" s="9" t="str">
        <f t="shared" si="4"/>
        <v>10-2023</v>
      </c>
      <c r="D139" t="s">
        <v>786</v>
      </c>
      <c r="E139" t="s">
        <v>787</v>
      </c>
      <c r="F139" t="s">
        <v>800</v>
      </c>
      <c r="G139" t="s">
        <v>938</v>
      </c>
      <c r="H139">
        <v>358.86</v>
      </c>
      <c r="I139">
        <v>10</v>
      </c>
      <c r="J139">
        <v>0.2</v>
      </c>
      <c r="K139">
        <v>-30.98</v>
      </c>
      <c r="L139" t="s">
        <v>1289</v>
      </c>
      <c r="M139" s="6">
        <f t="shared" si="5"/>
        <v>-8.6328930502145684E-2</v>
      </c>
      <c r="N139" s="6" t="str" cm="1">
        <f t="array" ref="N139">_xlfn.IFS('Data Cleaning &amp; Transf'!H139&lt;500,"LOW",AND('Data Cleaning &amp; Transf'!H139 &gt;500,'Data Cleaning &amp; Transf'!H139&lt;1000),"Medium",'Data Cleaning &amp; Transf'!H139&gt;1000,"High")</f>
        <v>LOW</v>
      </c>
    </row>
    <row r="140" spans="1:14" x14ac:dyDescent="0.3">
      <c r="A140" t="s">
        <v>149</v>
      </c>
      <c r="B140" s="2" t="s">
        <v>537</v>
      </c>
      <c r="C140" s="9" t="str">
        <f t="shared" si="4"/>
        <v>02-2023</v>
      </c>
      <c r="D140" t="s">
        <v>783</v>
      </c>
      <c r="E140" t="s">
        <v>789</v>
      </c>
      <c r="F140" t="s">
        <v>797</v>
      </c>
      <c r="G140" t="s">
        <v>939</v>
      </c>
      <c r="H140">
        <v>106.16</v>
      </c>
      <c r="I140">
        <v>7</v>
      </c>
      <c r="J140">
        <v>0.15</v>
      </c>
      <c r="K140">
        <v>-1.06</v>
      </c>
      <c r="L140" t="s">
        <v>1289</v>
      </c>
      <c r="M140" s="6">
        <f t="shared" si="5"/>
        <v>-9.9849284099472503E-3</v>
      </c>
      <c r="N140" s="6" t="str" cm="1">
        <f t="array" ref="N140">_xlfn.IFS('Data Cleaning &amp; Transf'!H140&lt;500,"LOW",AND('Data Cleaning &amp; Transf'!H140 &gt;500,'Data Cleaning &amp; Transf'!H140&lt;1000),"Medium",'Data Cleaning &amp; Transf'!H140&gt;1000,"High")</f>
        <v>LOW</v>
      </c>
    </row>
    <row r="141" spans="1:14" x14ac:dyDescent="0.3">
      <c r="A141" t="s">
        <v>150</v>
      </c>
      <c r="B141" s="2" t="s">
        <v>574</v>
      </c>
      <c r="C141" s="9" t="str">
        <f t="shared" si="4"/>
        <v>03-2023</v>
      </c>
      <c r="D141" t="s">
        <v>786</v>
      </c>
      <c r="E141" t="s">
        <v>787</v>
      </c>
      <c r="F141" t="s">
        <v>790</v>
      </c>
      <c r="G141" t="s">
        <v>940</v>
      </c>
      <c r="H141">
        <v>1603.55</v>
      </c>
      <c r="I141">
        <v>6</v>
      </c>
      <c r="J141">
        <v>0.2</v>
      </c>
      <c r="K141">
        <v>-62.86</v>
      </c>
      <c r="L141" t="s">
        <v>1290</v>
      </c>
      <c r="M141" s="6">
        <f t="shared" si="5"/>
        <v>-3.9200523837735028E-2</v>
      </c>
      <c r="N141" s="6" t="str" cm="1">
        <f t="array" ref="N141">_xlfn.IFS('Data Cleaning &amp; Transf'!H141&lt;500,"LOW",AND('Data Cleaning &amp; Transf'!H141 &gt;500,'Data Cleaning &amp; Transf'!H141&lt;1000),"Medium",'Data Cleaning &amp; Transf'!H141&gt;1000,"High")</f>
        <v>High</v>
      </c>
    </row>
    <row r="142" spans="1:14" x14ac:dyDescent="0.3">
      <c r="A142" t="s">
        <v>151</v>
      </c>
      <c r="B142" s="2" t="s">
        <v>626</v>
      </c>
      <c r="C142" s="9" t="str">
        <f t="shared" si="4"/>
        <v>08-2023</v>
      </c>
      <c r="D142" t="s">
        <v>785</v>
      </c>
      <c r="E142" t="s">
        <v>787</v>
      </c>
      <c r="F142" t="s">
        <v>792</v>
      </c>
      <c r="G142" t="s">
        <v>941</v>
      </c>
      <c r="H142">
        <v>1056.67</v>
      </c>
      <c r="I142">
        <v>1</v>
      </c>
      <c r="J142">
        <v>0.1</v>
      </c>
      <c r="K142">
        <v>171.48</v>
      </c>
      <c r="L142" t="s">
        <v>1289</v>
      </c>
      <c r="M142" s="6">
        <f t="shared" si="5"/>
        <v>0.16228339973690933</v>
      </c>
      <c r="N142" s="6" t="str" cm="1">
        <f t="array" ref="N142">_xlfn.IFS('Data Cleaning &amp; Transf'!H142&lt;500,"LOW",AND('Data Cleaning &amp; Transf'!H142 &gt;500,'Data Cleaning &amp; Transf'!H142&lt;1000),"Medium",'Data Cleaning &amp; Transf'!H142&gt;1000,"High")</f>
        <v>High</v>
      </c>
    </row>
    <row r="143" spans="1:14" x14ac:dyDescent="0.3">
      <c r="A143" t="s">
        <v>152</v>
      </c>
      <c r="B143" s="2" t="s">
        <v>627</v>
      </c>
      <c r="C143" s="9" t="str">
        <f t="shared" si="4"/>
        <v>03-2023</v>
      </c>
      <c r="D143" t="s">
        <v>786</v>
      </c>
      <c r="E143" t="s">
        <v>789</v>
      </c>
      <c r="F143" t="s">
        <v>794</v>
      </c>
      <c r="G143" t="s">
        <v>942</v>
      </c>
      <c r="H143">
        <v>1995.19</v>
      </c>
      <c r="I143">
        <v>7</v>
      </c>
      <c r="J143">
        <v>0.15</v>
      </c>
      <c r="K143">
        <v>43.38</v>
      </c>
      <c r="L143" t="s">
        <v>1290</v>
      </c>
      <c r="M143" s="6">
        <f t="shared" si="5"/>
        <v>2.174229020795012E-2</v>
      </c>
      <c r="N143" s="6" t="str" cm="1">
        <f t="array" ref="N143">_xlfn.IFS('Data Cleaning &amp; Transf'!H143&lt;500,"LOW",AND('Data Cleaning &amp; Transf'!H143 &gt;500,'Data Cleaning &amp; Transf'!H143&lt;1000),"Medium",'Data Cleaning &amp; Transf'!H143&gt;1000,"High")</f>
        <v>High</v>
      </c>
    </row>
    <row r="144" spans="1:14" x14ac:dyDescent="0.3">
      <c r="A144" t="s">
        <v>153</v>
      </c>
      <c r="B144" s="2" t="s">
        <v>628</v>
      </c>
      <c r="C144" s="9" t="str">
        <f t="shared" si="4"/>
        <v>06-2023</v>
      </c>
      <c r="D144" t="s">
        <v>785</v>
      </c>
      <c r="E144" t="s">
        <v>787</v>
      </c>
      <c r="F144" t="s">
        <v>801</v>
      </c>
      <c r="G144" t="s">
        <v>943</v>
      </c>
      <c r="H144">
        <v>562.48</v>
      </c>
      <c r="I144">
        <v>1</v>
      </c>
      <c r="J144">
        <v>0.2</v>
      </c>
      <c r="K144">
        <v>38.69</v>
      </c>
      <c r="L144" t="s">
        <v>1289</v>
      </c>
      <c r="M144" s="6">
        <f t="shared" si="5"/>
        <v>6.8784667899303084E-2</v>
      </c>
      <c r="N144" s="6" t="str" cm="1">
        <f t="array" ref="N144">_xlfn.IFS('Data Cleaning &amp; Transf'!H144&lt;500,"LOW",AND('Data Cleaning &amp; Transf'!H144 &gt;500,'Data Cleaning &amp; Transf'!H144&lt;1000),"Medium",'Data Cleaning &amp; Transf'!H144&gt;1000,"High")</f>
        <v>Medium</v>
      </c>
    </row>
    <row r="145" spans="1:14" x14ac:dyDescent="0.3">
      <c r="A145" t="s">
        <v>154</v>
      </c>
      <c r="B145" s="2" t="s">
        <v>616</v>
      </c>
      <c r="C145" s="9" t="str">
        <f t="shared" si="4"/>
        <v>09-2023</v>
      </c>
      <c r="D145" t="s">
        <v>786</v>
      </c>
      <c r="E145" t="s">
        <v>789</v>
      </c>
      <c r="F145" t="s">
        <v>798</v>
      </c>
      <c r="G145" t="s">
        <v>944</v>
      </c>
      <c r="H145">
        <v>1588.83</v>
      </c>
      <c r="I145">
        <v>3</v>
      </c>
      <c r="J145">
        <v>0.1</v>
      </c>
      <c r="K145">
        <v>27.12</v>
      </c>
      <c r="L145" t="s">
        <v>1289</v>
      </c>
      <c r="M145" s="6">
        <f t="shared" si="5"/>
        <v>1.7069164101886296E-2</v>
      </c>
      <c r="N145" s="6" t="str" cm="1">
        <f t="array" ref="N145">_xlfn.IFS('Data Cleaning &amp; Transf'!H145&lt;500,"LOW",AND('Data Cleaning &amp; Transf'!H145 &gt;500,'Data Cleaning &amp; Transf'!H145&lt;1000),"Medium",'Data Cleaning &amp; Transf'!H145&gt;1000,"High")</f>
        <v>High</v>
      </c>
    </row>
    <row r="146" spans="1:14" x14ac:dyDescent="0.3">
      <c r="A146" t="s">
        <v>155</v>
      </c>
      <c r="B146" s="2" t="s">
        <v>629</v>
      </c>
      <c r="C146" s="9" t="str">
        <f t="shared" si="4"/>
        <v>10-2023</v>
      </c>
      <c r="D146" t="s">
        <v>786</v>
      </c>
      <c r="E146" t="s">
        <v>789</v>
      </c>
      <c r="F146" t="s">
        <v>798</v>
      </c>
      <c r="G146" t="s">
        <v>945</v>
      </c>
      <c r="H146">
        <v>500.01</v>
      </c>
      <c r="I146">
        <v>1</v>
      </c>
      <c r="J146">
        <v>0.1</v>
      </c>
      <c r="K146">
        <v>99.23</v>
      </c>
      <c r="L146" t="s">
        <v>1289</v>
      </c>
      <c r="M146" s="6">
        <f t="shared" si="5"/>
        <v>0.19845603087938243</v>
      </c>
      <c r="N146" s="6" t="str" cm="1">
        <f t="array" ref="N146">_xlfn.IFS('Data Cleaning &amp; Transf'!H146&lt;500,"LOW",AND('Data Cleaning &amp; Transf'!H146 &gt;500,'Data Cleaning &amp; Transf'!H146&lt;1000),"Medium",'Data Cleaning &amp; Transf'!H146&gt;1000,"High")</f>
        <v>Medium</v>
      </c>
    </row>
    <row r="147" spans="1:14" x14ac:dyDescent="0.3">
      <c r="A147" t="s">
        <v>156</v>
      </c>
      <c r="B147" s="2" t="s">
        <v>630</v>
      </c>
      <c r="C147" s="9" t="str">
        <f t="shared" si="4"/>
        <v>02-2023</v>
      </c>
      <c r="D147" t="s">
        <v>783</v>
      </c>
      <c r="E147" t="s">
        <v>788</v>
      </c>
      <c r="F147" t="s">
        <v>796</v>
      </c>
      <c r="G147" t="s">
        <v>946</v>
      </c>
      <c r="H147">
        <v>1537.47</v>
      </c>
      <c r="I147">
        <v>4</v>
      </c>
      <c r="J147">
        <v>0</v>
      </c>
      <c r="K147">
        <v>169.63</v>
      </c>
      <c r="L147" t="s">
        <v>1290</v>
      </c>
      <c r="M147" s="6">
        <f t="shared" si="5"/>
        <v>0.11033060807690556</v>
      </c>
      <c r="N147" s="6" t="str" cm="1">
        <f t="array" ref="N147">_xlfn.IFS('Data Cleaning &amp; Transf'!H147&lt;500,"LOW",AND('Data Cleaning &amp; Transf'!H147 &gt;500,'Data Cleaning &amp; Transf'!H147&lt;1000),"Medium",'Data Cleaning &amp; Transf'!H147&gt;1000,"High")</f>
        <v>High</v>
      </c>
    </row>
    <row r="148" spans="1:14" x14ac:dyDescent="0.3">
      <c r="A148" t="s">
        <v>157</v>
      </c>
      <c r="B148" s="2" t="s">
        <v>631</v>
      </c>
      <c r="C148" s="9" t="str">
        <f t="shared" si="4"/>
        <v>01-2023</v>
      </c>
      <c r="D148" t="s">
        <v>786</v>
      </c>
      <c r="E148" t="s">
        <v>788</v>
      </c>
      <c r="F148" t="s">
        <v>796</v>
      </c>
      <c r="G148" t="s">
        <v>947</v>
      </c>
      <c r="H148">
        <v>1413.65</v>
      </c>
      <c r="I148">
        <v>3</v>
      </c>
      <c r="J148">
        <v>0.2</v>
      </c>
      <c r="K148">
        <v>87.34</v>
      </c>
      <c r="L148" t="s">
        <v>1291</v>
      </c>
      <c r="M148" s="6">
        <f t="shared" si="5"/>
        <v>6.1783326848937149E-2</v>
      </c>
      <c r="N148" s="6" t="str" cm="1">
        <f t="array" ref="N148">_xlfn.IFS('Data Cleaning &amp; Transf'!H148&lt;500,"LOW",AND('Data Cleaning &amp; Transf'!H148 &gt;500,'Data Cleaning &amp; Transf'!H148&lt;1000),"Medium",'Data Cleaning &amp; Transf'!H148&gt;1000,"High")</f>
        <v>High</v>
      </c>
    </row>
    <row r="149" spans="1:14" x14ac:dyDescent="0.3">
      <c r="A149" t="s">
        <v>158</v>
      </c>
      <c r="B149" s="2" t="s">
        <v>632</v>
      </c>
      <c r="C149" s="9" t="str">
        <f t="shared" si="4"/>
        <v>12-2023</v>
      </c>
      <c r="D149" t="s">
        <v>785</v>
      </c>
      <c r="E149" t="s">
        <v>789</v>
      </c>
      <c r="F149" t="s">
        <v>799</v>
      </c>
      <c r="G149" t="s">
        <v>948</v>
      </c>
      <c r="H149">
        <v>86.34</v>
      </c>
      <c r="I149">
        <v>8</v>
      </c>
      <c r="J149">
        <v>0.2</v>
      </c>
      <c r="K149">
        <v>1.86</v>
      </c>
      <c r="L149" t="s">
        <v>1289</v>
      </c>
      <c r="M149" s="6">
        <f t="shared" si="5"/>
        <v>2.1542738012508687E-2</v>
      </c>
      <c r="N149" s="6" t="str" cm="1">
        <f t="array" ref="N149">_xlfn.IFS('Data Cleaning &amp; Transf'!H149&lt;500,"LOW",AND('Data Cleaning &amp; Transf'!H149 &gt;500,'Data Cleaning &amp; Transf'!H149&lt;1000),"Medium",'Data Cleaning &amp; Transf'!H149&gt;1000,"High")</f>
        <v>LOW</v>
      </c>
    </row>
    <row r="150" spans="1:14" x14ac:dyDescent="0.3">
      <c r="A150" t="s">
        <v>159</v>
      </c>
      <c r="B150" s="2" t="s">
        <v>519</v>
      </c>
      <c r="C150" s="9" t="str">
        <f t="shared" si="4"/>
        <v>05-2023</v>
      </c>
      <c r="D150" t="s">
        <v>786</v>
      </c>
      <c r="E150" t="s">
        <v>789</v>
      </c>
      <c r="F150" t="s">
        <v>794</v>
      </c>
      <c r="G150" t="s">
        <v>949</v>
      </c>
      <c r="H150">
        <v>1359.7</v>
      </c>
      <c r="I150">
        <v>7</v>
      </c>
      <c r="J150">
        <v>0.2</v>
      </c>
      <c r="K150">
        <v>-36.76</v>
      </c>
      <c r="L150" t="s">
        <v>1289</v>
      </c>
      <c r="M150" s="6">
        <f t="shared" si="5"/>
        <v>-2.7035375450467011E-2</v>
      </c>
      <c r="N150" s="6" t="str" cm="1">
        <f t="array" ref="N150">_xlfn.IFS('Data Cleaning &amp; Transf'!H150&lt;500,"LOW",AND('Data Cleaning &amp; Transf'!H150 &gt;500,'Data Cleaning &amp; Transf'!H150&lt;1000),"Medium",'Data Cleaning &amp; Transf'!H150&gt;1000,"High")</f>
        <v>High</v>
      </c>
    </row>
    <row r="151" spans="1:14" x14ac:dyDescent="0.3">
      <c r="A151" t="s">
        <v>160</v>
      </c>
      <c r="B151" s="2" t="s">
        <v>633</v>
      </c>
      <c r="C151" s="9" t="str">
        <f t="shared" si="4"/>
        <v>10-2023</v>
      </c>
      <c r="D151" t="s">
        <v>786</v>
      </c>
      <c r="E151" t="s">
        <v>787</v>
      </c>
      <c r="F151" t="s">
        <v>792</v>
      </c>
      <c r="G151" t="s">
        <v>950</v>
      </c>
      <c r="H151">
        <v>1245.1600000000001</v>
      </c>
      <c r="I151">
        <v>3</v>
      </c>
      <c r="J151">
        <v>0.15</v>
      </c>
      <c r="K151">
        <v>-9.07</v>
      </c>
      <c r="L151" t="s">
        <v>1291</v>
      </c>
      <c r="M151" s="6">
        <f t="shared" si="5"/>
        <v>-7.2842044395900925E-3</v>
      </c>
      <c r="N151" s="6" t="str" cm="1">
        <f t="array" ref="N151">_xlfn.IFS('Data Cleaning &amp; Transf'!H151&lt;500,"LOW",AND('Data Cleaning &amp; Transf'!H151 &gt;500,'Data Cleaning &amp; Transf'!H151&lt;1000),"Medium",'Data Cleaning &amp; Transf'!H151&gt;1000,"High")</f>
        <v>High</v>
      </c>
    </row>
    <row r="152" spans="1:14" x14ac:dyDescent="0.3">
      <c r="A152" t="s">
        <v>161</v>
      </c>
      <c r="B152" s="2" t="s">
        <v>538</v>
      </c>
      <c r="C152" s="9" t="str">
        <f t="shared" si="4"/>
        <v>12-2023</v>
      </c>
      <c r="D152" t="s">
        <v>783</v>
      </c>
      <c r="E152" t="s">
        <v>789</v>
      </c>
      <c r="F152" t="s">
        <v>794</v>
      </c>
      <c r="G152" t="s">
        <v>951</v>
      </c>
      <c r="H152">
        <v>559.08000000000004</v>
      </c>
      <c r="I152">
        <v>5</v>
      </c>
      <c r="J152">
        <v>0.1</v>
      </c>
      <c r="K152">
        <v>10.09</v>
      </c>
      <c r="L152" t="s">
        <v>1289</v>
      </c>
      <c r="M152" s="6">
        <f t="shared" si="5"/>
        <v>1.804750661801531E-2</v>
      </c>
      <c r="N152" s="6" t="str" cm="1">
        <f t="array" ref="N152">_xlfn.IFS('Data Cleaning &amp; Transf'!H152&lt;500,"LOW",AND('Data Cleaning &amp; Transf'!H152 &gt;500,'Data Cleaning &amp; Transf'!H152&lt;1000),"Medium",'Data Cleaning &amp; Transf'!H152&gt;1000,"High")</f>
        <v>Medium</v>
      </c>
    </row>
    <row r="153" spans="1:14" x14ac:dyDescent="0.3">
      <c r="A153" t="s">
        <v>162</v>
      </c>
      <c r="B153" s="2" t="s">
        <v>634</v>
      </c>
      <c r="C153" s="9" t="str">
        <f t="shared" si="4"/>
        <v>06-2023</v>
      </c>
      <c r="D153" t="s">
        <v>786</v>
      </c>
      <c r="E153" t="s">
        <v>789</v>
      </c>
      <c r="F153" t="s">
        <v>798</v>
      </c>
      <c r="G153" t="s">
        <v>952</v>
      </c>
      <c r="H153">
        <v>669.94</v>
      </c>
      <c r="I153">
        <v>2</v>
      </c>
      <c r="J153">
        <v>0.1</v>
      </c>
      <c r="K153">
        <v>-11.35</v>
      </c>
      <c r="L153" t="s">
        <v>1290</v>
      </c>
      <c r="M153" s="6">
        <f t="shared" si="5"/>
        <v>-1.6941815684986712E-2</v>
      </c>
      <c r="N153" s="6" t="str" cm="1">
        <f t="array" ref="N153">_xlfn.IFS('Data Cleaning &amp; Transf'!H153&lt;500,"LOW",AND('Data Cleaning &amp; Transf'!H153 &gt;500,'Data Cleaning &amp; Transf'!H153&lt;1000),"Medium",'Data Cleaning &amp; Transf'!H153&gt;1000,"High")</f>
        <v>Medium</v>
      </c>
    </row>
    <row r="154" spans="1:14" x14ac:dyDescent="0.3">
      <c r="A154" t="s">
        <v>163</v>
      </c>
      <c r="B154" s="2" t="s">
        <v>635</v>
      </c>
      <c r="C154" s="9" t="str">
        <f t="shared" si="4"/>
        <v>01-2023</v>
      </c>
      <c r="D154" t="s">
        <v>786</v>
      </c>
      <c r="E154" t="s">
        <v>787</v>
      </c>
      <c r="F154" t="s">
        <v>801</v>
      </c>
      <c r="G154" t="s">
        <v>953</v>
      </c>
      <c r="H154">
        <v>837.33</v>
      </c>
      <c r="I154">
        <v>5</v>
      </c>
      <c r="J154">
        <v>0</v>
      </c>
      <c r="K154">
        <v>246.42</v>
      </c>
      <c r="L154" t="s">
        <v>1291</v>
      </c>
      <c r="M154" s="6">
        <f t="shared" si="5"/>
        <v>0.29429257282075166</v>
      </c>
      <c r="N154" s="6" t="str" cm="1">
        <f t="array" ref="N154">_xlfn.IFS('Data Cleaning &amp; Transf'!H154&lt;500,"LOW",AND('Data Cleaning &amp; Transf'!H154 &gt;500,'Data Cleaning &amp; Transf'!H154&lt;1000),"Medium",'Data Cleaning &amp; Transf'!H154&gt;1000,"High")</f>
        <v>Medium</v>
      </c>
    </row>
    <row r="155" spans="1:14" x14ac:dyDescent="0.3">
      <c r="A155" t="s">
        <v>164</v>
      </c>
      <c r="B155" s="2" t="s">
        <v>636</v>
      </c>
      <c r="C155" s="9" t="str">
        <f t="shared" si="4"/>
        <v>07-2023</v>
      </c>
      <c r="D155" t="s">
        <v>785</v>
      </c>
      <c r="E155" t="s">
        <v>787</v>
      </c>
      <c r="F155" t="s">
        <v>801</v>
      </c>
      <c r="G155" t="s">
        <v>954</v>
      </c>
      <c r="H155">
        <v>1223.92</v>
      </c>
      <c r="I155">
        <v>2</v>
      </c>
      <c r="J155">
        <v>0.05</v>
      </c>
      <c r="K155">
        <v>258.14999999999998</v>
      </c>
      <c r="L155" t="s">
        <v>1290</v>
      </c>
      <c r="M155" s="6">
        <f t="shared" si="5"/>
        <v>0.21092064840839267</v>
      </c>
      <c r="N155" s="6" t="str" cm="1">
        <f t="array" ref="N155">_xlfn.IFS('Data Cleaning &amp; Transf'!H155&lt;500,"LOW",AND('Data Cleaning &amp; Transf'!H155 &gt;500,'Data Cleaning &amp; Transf'!H155&lt;1000),"Medium",'Data Cleaning &amp; Transf'!H155&gt;1000,"High")</f>
        <v>High</v>
      </c>
    </row>
    <row r="156" spans="1:14" x14ac:dyDescent="0.3">
      <c r="A156" t="s">
        <v>165</v>
      </c>
      <c r="B156" s="2" t="s">
        <v>637</v>
      </c>
      <c r="C156" s="9" t="str">
        <f t="shared" si="4"/>
        <v>10-2023</v>
      </c>
      <c r="D156" t="s">
        <v>783</v>
      </c>
      <c r="E156" t="s">
        <v>789</v>
      </c>
      <c r="F156" t="s">
        <v>797</v>
      </c>
      <c r="G156" t="s">
        <v>955</v>
      </c>
      <c r="H156">
        <v>1398.31</v>
      </c>
      <c r="I156">
        <v>1</v>
      </c>
      <c r="J156">
        <v>0.2</v>
      </c>
      <c r="K156">
        <v>-157.83000000000001</v>
      </c>
      <c r="L156" t="s">
        <v>1290</v>
      </c>
      <c r="M156" s="6">
        <f t="shared" si="5"/>
        <v>-0.11287196687429828</v>
      </c>
      <c r="N156" s="6" t="str" cm="1">
        <f t="array" ref="N156">_xlfn.IFS('Data Cleaning &amp; Transf'!H156&lt;500,"LOW",AND('Data Cleaning &amp; Transf'!H156 &gt;500,'Data Cleaning &amp; Transf'!H156&lt;1000),"Medium",'Data Cleaning &amp; Transf'!H156&gt;1000,"High")</f>
        <v>High</v>
      </c>
    </row>
    <row r="157" spans="1:14" x14ac:dyDescent="0.3">
      <c r="A157" t="s">
        <v>166</v>
      </c>
      <c r="B157" s="2" t="s">
        <v>638</v>
      </c>
      <c r="C157" s="9" t="str">
        <f t="shared" si="4"/>
        <v>08-2023</v>
      </c>
      <c r="D157" t="s">
        <v>785</v>
      </c>
      <c r="E157" t="s">
        <v>789</v>
      </c>
      <c r="F157" t="s">
        <v>797</v>
      </c>
      <c r="G157" t="s">
        <v>956</v>
      </c>
      <c r="H157">
        <v>1095.8</v>
      </c>
      <c r="I157">
        <v>7</v>
      </c>
      <c r="J157">
        <v>0.2</v>
      </c>
      <c r="K157">
        <v>87.51</v>
      </c>
      <c r="L157" t="s">
        <v>1289</v>
      </c>
      <c r="M157" s="6">
        <f t="shared" si="5"/>
        <v>7.9859463405730982E-2</v>
      </c>
      <c r="N157" s="6" t="str" cm="1">
        <f t="array" ref="N157">_xlfn.IFS('Data Cleaning &amp; Transf'!H157&lt;500,"LOW",AND('Data Cleaning &amp; Transf'!H157 &gt;500,'Data Cleaning &amp; Transf'!H157&lt;1000),"Medium",'Data Cleaning &amp; Transf'!H157&gt;1000,"High")</f>
        <v>High</v>
      </c>
    </row>
    <row r="158" spans="1:14" x14ac:dyDescent="0.3">
      <c r="A158" t="s">
        <v>167</v>
      </c>
      <c r="B158" s="2" t="s">
        <v>574</v>
      </c>
      <c r="C158" s="9" t="str">
        <f t="shared" si="4"/>
        <v>03-2023</v>
      </c>
      <c r="D158" t="s">
        <v>783</v>
      </c>
      <c r="E158" t="s">
        <v>788</v>
      </c>
      <c r="F158" t="s">
        <v>796</v>
      </c>
      <c r="G158" t="s">
        <v>957</v>
      </c>
      <c r="H158">
        <v>1841.18</v>
      </c>
      <c r="I158">
        <v>10</v>
      </c>
      <c r="J158">
        <v>0.2</v>
      </c>
      <c r="K158">
        <v>-39.03</v>
      </c>
      <c r="L158" t="s">
        <v>1290</v>
      </c>
      <c r="M158" s="6">
        <f t="shared" si="5"/>
        <v>-2.1198361920072996E-2</v>
      </c>
      <c r="N158" s="6" t="str" cm="1">
        <f t="array" ref="N158">_xlfn.IFS('Data Cleaning &amp; Transf'!H158&lt;500,"LOW",AND('Data Cleaning &amp; Transf'!H158 &gt;500,'Data Cleaning &amp; Transf'!H158&lt;1000),"Medium",'Data Cleaning &amp; Transf'!H158&gt;1000,"High")</f>
        <v>High</v>
      </c>
    </row>
    <row r="159" spans="1:14" x14ac:dyDescent="0.3">
      <c r="A159" t="s">
        <v>168</v>
      </c>
      <c r="B159" s="2" t="s">
        <v>639</v>
      </c>
      <c r="C159" s="9" t="str">
        <f t="shared" si="4"/>
        <v>03-2023</v>
      </c>
      <c r="D159" t="s">
        <v>785</v>
      </c>
      <c r="E159" t="s">
        <v>788</v>
      </c>
      <c r="F159" t="s">
        <v>793</v>
      </c>
      <c r="G159" t="s">
        <v>958</v>
      </c>
      <c r="H159">
        <v>576.97</v>
      </c>
      <c r="I159">
        <v>10</v>
      </c>
      <c r="J159">
        <v>0.1</v>
      </c>
      <c r="K159">
        <v>11.89</v>
      </c>
      <c r="L159" t="s">
        <v>1290</v>
      </c>
      <c r="M159" s="6">
        <f t="shared" si="5"/>
        <v>2.06076572438775E-2</v>
      </c>
      <c r="N159" s="6" t="str" cm="1">
        <f t="array" ref="N159">_xlfn.IFS('Data Cleaning &amp; Transf'!H159&lt;500,"LOW",AND('Data Cleaning &amp; Transf'!H159 &gt;500,'Data Cleaning &amp; Transf'!H159&lt;1000),"Medium",'Data Cleaning &amp; Transf'!H159&gt;1000,"High")</f>
        <v>Medium</v>
      </c>
    </row>
    <row r="160" spans="1:14" x14ac:dyDescent="0.3">
      <c r="A160" t="s">
        <v>169</v>
      </c>
      <c r="B160" s="2" t="s">
        <v>547</v>
      </c>
      <c r="C160" s="9" t="str">
        <f t="shared" si="4"/>
        <v>06-2023</v>
      </c>
      <c r="D160" t="s">
        <v>783</v>
      </c>
      <c r="E160" t="s">
        <v>788</v>
      </c>
      <c r="F160" t="s">
        <v>791</v>
      </c>
      <c r="G160" t="s">
        <v>959</v>
      </c>
      <c r="H160">
        <v>602.12</v>
      </c>
      <c r="I160">
        <v>5</v>
      </c>
      <c r="J160">
        <v>0.15</v>
      </c>
      <c r="K160">
        <v>86.96</v>
      </c>
      <c r="L160" t="s">
        <v>1291</v>
      </c>
      <c r="M160" s="6">
        <f t="shared" si="5"/>
        <v>0.1444230385969574</v>
      </c>
      <c r="N160" s="6" t="str" cm="1">
        <f t="array" ref="N160">_xlfn.IFS('Data Cleaning &amp; Transf'!H160&lt;500,"LOW",AND('Data Cleaning &amp; Transf'!H160 &gt;500,'Data Cleaning &amp; Transf'!H160&lt;1000),"Medium",'Data Cleaning &amp; Transf'!H160&gt;1000,"High")</f>
        <v>Medium</v>
      </c>
    </row>
    <row r="161" spans="1:14" x14ac:dyDescent="0.3">
      <c r="A161" t="s">
        <v>170</v>
      </c>
      <c r="B161" s="2" t="s">
        <v>640</v>
      </c>
      <c r="C161" s="9" t="str">
        <f t="shared" si="4"/>
        <v>02-2023</v>
      </c>
      <c r="D161" t="s">
        <v>785</v>
      </c>
      <c r="E161" t="s">
        <v>787</v>
      </c>
      <c r="F161" t="s">
        <v>792</v>
      </c>
      <c r="G161" t="s">
        <v>960</v>
      </c>
      <c r="H161">
        <v>925.2</v>
      </c>
      <c r="I161">
        <v>1</v>
      </c>
      <c r="J161">
        <v>0</v>
      </c>
      <c r="K161">
        <v>159.84</v>
      </c>
      <c r="L161" t="s">
        <v>1291</v>
      </c>
      <c r="M161" s="6">
        <f t="shared" si="5"/>
        <v>0.17276264591439688</v>
      </c>
      <c r="N161" s="6" t="str" cm="1">
        <f t="array" ref="N161">_xlfn.IFS('Data Cleaning &amp; Transf'!H161&lt;500,"LOW",AND('Data Cleaning &amp; Transf'!H161 &gt;500,'Data Cleaning &amp; Transf'!H161&lt;1000),"Medium",'Data Cleaning &amp; Transf'!H161&gt;1000,"High")</f>
        <v>Medium</v>
      </c>
    </row>
    <row r="162" spans="1:14" x14ac:dyDescent="0.3">
      <c r="A162" t="s">
        <v>171</v>
      </c>
      <c r="B162" s="2" t="s">
        <v>564</v>
      </c>
      <c r="C162" s="9" t="str">
        <f t="shared" si="4"/>
        <v>08-2023</v>
      </c>
      <c r="D162" t="s">
        <v>786</v>
      </c>
      <c r="E162" t="s">
        <v>789</v>
      </c>
      <c r="F162" t="s">
        <v>797</v>
      </c>
      <c r="G162" t="s">
        <v>961</v>
      </c>
      <c r="H162">
        <v>1310.7</v>
      </c>
      <c r="I162">
        <v>8</v>
      </c>
      <c r="J162">
        <v>0.2</v>
      </c>
      <c r="K162">
        <v>-50.89</v>
      </c>
      <c r="L162" t="s">
        <v>1291</v>
      </c>
      <c r="M162" s="6">
        <f t="shared" si="5"/>
        <v>-3.8826581216144046E-2</v>
      </c>
      <c r="N162" s="6" t="str" cm="1">
        <f t="array" ref="N162">_xlfn.IFS('Data Cleaning &amp; Transf'!H162&lt;500,"LOW",AND('Data Cleaning &amp; Transf'!H162 &gt;500,'Data Cleaning &amp; Transf'!H162&lt;1000),"Medium",'Data Cleaning &amp; Transf'!H162&gt;1000,"High")</f>
        <v>High</v>
      </c>
    </row>
    <row r="163" spans="1:14" x14ac:dyDescent="0.3">
      <c r="A163" t="s">
        <v>172</v>
      </c>
      <c r="B163" s="2" t="s">
        <v>632</v>
      </c>
      <c r="C163" s="9" t="str">
        <f t="shared" si="4"/>
        <v>12-2023</v>
      </c>
      <c r="D163" t="s">
        <v>786</v>
      </c>
      <c r="E163" t="s">
        <v>789</v>
      </c>
      <c r="F163" t="s">
        <v>797</v>
      </c>
      <c r="G163" t="s">
        <v>962</v>
      </c>
      <c r="H163">
        <v>93.74</v>
      </c>
      <c r="I163">
        <v>5</v>
      </c>
      <c r="J163">
        <v>0.1</v>
      </c>
      <c r="K163">
        <v>-3.61</v>
      </c>
      <c r="L163" t="s">
        <v>1290</v>
      </c>
      <c r="M163" s="6">
        <f t="shared" si="5"/>
        <v>-3.8510774482611476E-2</v>
      </c>
      <c r="N163" s="6" t="str" cm="1">
        <f t="array" ref="N163">_xlfn.IFS('Data Cleaning &amp; Transf'!H163&lt;500,"LOW",AND('Data Cleaning &amp; Transf'!H163 &gt;500,'Data Cleaning &amp; Transf'!H163&lt;1000),"Medium",'Data Cleaning &amp; Transf'!H163&gt;1000,"High")</f>
        <v>LOW</v>
      </c>
    </row>
    <row r="164" spans="1:14" x14ac:dyDescent="0.3">
      <c r="A164" t="s">
        <v>173</v>
      </c>
      <c r="B164" s="2" t="s">
        <v>641</v>
      </c>
      <c r="C164" s="9" t="str">
        <f t="shared" si="4"/>
        <v>04-2023</v>
      </c>
      <c r="D164" t="s">
        <v>784</v>
      </c>
      <c r="E164" t="s">
        <v>789</v>
      </c>
      <c r="F164" t="s">
        <v>799</v>
      </c>
      <c r="G164" t="s">
        <v>963</v>
      </c>
      <c r="H164">
        <v>587.46</v>
      </c>
      <c r="I164">
        <v>5</v>
      </c>
      <c r="J164">
        <v>0.1</v>
      </c>
      <c r="K164">
        <v>66.47</v>
      </c>
      <c r="L164" t="s">
        <v>1291</v>
      </c>
      <c r="M164" s="6">
        <f t="shared" si="5"/>
        <v>0.11314812923433083</v>
      </c>
      <c r="N164" s="6" t="str" cm="1">
        <f t="array" ref="N164">_xlfn.IFS('Data Cleaning &amp; Transf'!H164&lt;500,"LOW",AND('Data Cleaning &amp; Transf'!H164 &gt;500,'Data Cleaning &amp; Transf'!H164&lt;1000),"Medium",'Data Cleaning &amp; Transf'!H164&gt;1000,"High")</f>
        <v>Medium</v>
      </c>
    </row>
    <row r="165" spans="1:14" x14ac:dyDescent="0.3">
      <c r="A165" t="s">
        <v>174</v>
      </c>
      <c r="B165" s="2" t="s">
        <v>642</v>
      </c>
      <c r="C165" s="9" t="str">
        <f t="shared" si="4"/>
        <v>06-2023</v>
      </c>
      <c r="D165" t="s">
        <v>785</v>
      </c>
      <c r="E165" t="s">
        <v>787</v>
      </c>
      <c r="F165" t="s">
        <v>801</v>
      </c>
      <c r="G165" t="s">
        <v>964</v>
      </c>
      <c r="H165">
        <v>733.44</v>
      </c>
      <c r="I165">
        <v>6</v>
      </c>
      <c r="J165">
        <v>0.1</v>
      </c>
      <c r="K165">
        <v>7.7</v>
      </c>
      <c r="L165" t="s">
        <v>1289</v>
      </c>
      <c r="M165" s="6">
        <f t="shared" si="5"/>
        <v>1.0498472949389178E-2</v>
      </c>
      <c r="N165" s="6" t="str" cm="1">
        <f t="array" ref="N165">_xlfn.IFS('Data Cleaning &amp; Transf'!H165&lt;500,"LOW",AND('Data Cleaning &amp; Transf'!H165 &gt;500,'Data Cleaning &amp; Transf'!H165&lt;1000),"Medium",'Data Cleaning &amp; Transf'!H165&gt;1000,"High")</f>
        <v>Medium</v>
      </c>
    </row>
    <row r="166" spans="1:14" x14ac:dyDescent="0.3">
      <c r="A166" t="s">
        <v>175</v>
      </c>
      <c r="B166" s="2" t="s">
        <v>638</v>
      </c>
      <c r="C166" s="9" t="str">
        <f t="shared" si="4"/>
        <v>08-2023</v>
      </c>
      <c r="D166" t="s">
        <v>785</v>
      </c>
      <c r="E166" t="s">
        <v>788</v>
      </c>
      <c r="F166" t="s">
        <v>796</v>
      </c>
      <c r="G166" t="s">
        <v>965</v>
      </c>
      <c r="H166">
        <v>689.41</v>
      </c>
      <c r="I166">
        <v>3</v>
      </c>
      <c r="J166">
        <v>0.1</v>
      </c>
      <c r="K166">
        <v>35.81</v>
      </c>
      <c r="L166" t="s">
        <v>1289</v>
      </c>
      <c r="M166" s="6">
        <f t="shared" si="5"/>
        <v>5.1942965724314998E-2</v>
      </c>
      <c r="N166" s="6" t="str" cm="1">
        <f t="array" ref="N166">_xlfn.IFS('Data Cleaning &amp; Transf'!H166&lt;500,"LOW",AND('Data Cleaning &amp; Transf'!H166 &gt;500,'Data Cleaning &amp; Transf'!H166&lt;1000),"Medium",'Data Cleaning &amp; Transf'!H166&gt;1000,"High")</f>
        <v>Medium</v>
      </c>
    </row>
    <row r="167" spans="1:14" x14ac:dyDescent="0.3">
      <c r="A167" t="s">
        <v>176</v>
      </c>
      <c r="B167" s="2" t="s">
        <v>643</v>
      </c>
      <c r="C167" s="9" t="str">
        <f t="shared" si="4"/>
        <v>10-2023</v>
      </c>
      <c r="D167" t="s">
        <v>784</v>
      </c>
      <c r="E167" t="s">
        <v>789</v>
      </c>
      <c r="F167" t="s">
        <v>798</v>
      </c>
      <c r="G167" t="s">
        <v>966</v>
      </c>
      <c r="H167">
        <v>356.11</v>
      </c>
      <c r="I167">
        <v>8</v>
      </c>
      <c r="J167">
        <v>0.2</v>
      </c>
      <c r="K167">
        <v>-28.33</v>
      </c>
      <c r="L167" t="s">
        <v>1291</v>
      </c>
      <c r="M167" s="6">
        <f t="shared" si="5"/>
        <v>-7.9554070371514407E-2</v>
      </c>
      <c r="N167" s="6" t="str" cm="1">
        <f t="array" ref="N167">_xlfn.IFS('Data Cleaning &amp; Transf'!H167&lt;500,"LOW",AND('Data Cleaning &amp; Transf'!H167 &gt;500,'Data Cleaning &amp; Transf'!H167&lt;1000),"Medium",'Data Cleaning &amp; Transf'!H167&gt;1000,"High")</f>
        <v>LOW</v>
      </c>
    </row>
    <row r="168" spans="1:14" x14ac:dyDescent="0.3">
      <c r="A168" t="s">
        <v>177</v>
      </c>
      <c r="B168" s="2" t="s">
        <v>644</v>
      </c>
      <c r="C168" s="9" t="str">
        <f t="shared" si="4"/>
        <v>01-2023</v>
      </c>
      <c r="D168" t="s">
        <v>783</v>
      </c>
      <c r="E168" t="s">
        <v>788</v>
      </c>
      <c r="F168" t="s">
        <v>791</v>
      </c>
      <c r="G168" t="s">
        <v>967</v>
      </c>
      <c r="H168">
        <v>1017.65</v>
      </c>
      <c r="I168">
        <v>3</v>
      </c>
      <c r="J168">
        <v>0.15</v>
      </c>
      <c r="K168">
        <v>-25.78</v>
      </c>
      <c r="L168" t="s">
        <v>1290</v>
      </c>
      <c r="M168" s="6">
        <f t="shared" si="5"/>
        <v>-2.5332874760477572E-2</v>
      </c>
      <c r="N168" s="6" t="str" cm="1">
        <f t="array" ref="N168">_xlfn.IFS('Data Cleaning &amp; Transf'!H168&lt;500,"LOW",AND('Data Cleaning &amp; Transf'!H168 &gt;500,'Data Cleaning &amp; Transf'!H168&lt;1000),"Medium",'Data Cleaning &amp; Transf'!H168&gt;1000,"High")</f>
        <v>High</v>
      </c>
    </row>
    <row r="169" spans="1:14" x14ac:dyDescent="0.3">
      <c r="A169" t="s">
        <v>178</v>
      </c>
      <c r="B169" s="2" t="s">
        <v>645</v>
      </c>
      <c r="C169" s="9" t="str">
        <f t="shared" si="4"/>
        <v>11-2023</v>
      </c>
      <c r="D169" t="s">
        <v>786</v>
      </c>
      <c r="E169" t="s">
        <v>787</v>
      </c>
      <c r="F169" t="s">
        <v>792</v>
      </c>
      <c r="G169" t="s">
        <v>968</v>
      </c>
      <c r="H169">
        <v>407.87</v>
      </c>
      <c r="I169">
        <v>5</v>
      </c>
      <c r="J169">
        <v>0.2</v>
      </c>
      <c r="K169">
        <v>12.9</v>
      </c>
      <c r="L169" t="s">
        <v>1291</v>
      </c>
      <c r="M169" s="6">
        <f t="shared" si="5"/>
        <v>3.1627724520067672E-2</v>
      </c>
      <c r="N169" s="6" t="str" cm="1">
        <f t="array" ref="N169">_xlfn.IFS('Data Cleaning &amp; Transf'!H169&lt;500,"LOW",AND('Data Cleaning &amp; Transf'!H169 &gt;500,'Data Cleaning &amp; Transf'!H169&lt;1000),"Medium",'Data Cleaning &amp; Transf'!H169&gt;1000,"High")</f>
        <v>LOW</v>
      </c>
    </row>
    <row r="170" spans="1:14" x14ac:dyDescent="0.3">
      <c r="A170" t="s">
        <v>179</v>
      </c>
      <c r="B170" s="2" t="s">
        <v>646</v>
      </c>
      <c r="C170" s="9" t="str">
        <f t="shared" si="4"/>
        <v>10-2023</v>
      </c>
      <c r="D170" t="s">
        <v>786</v>
      </c>
      <c r="E170" t="s">
        <v>788</v>
      </c>
      <c r="F170" t="s">
        <v>793</v>
      </c>
      <c r="G170" t="s">
        <v>969</v>
      </c>
      <c r="H170">
        <v>156.5</v>
      </c>
      <c r="I170">
        <v>10</v>
      </c>
      <c r="J170">
        <v>0.05</v>
      </c>
      <c r="K170">
        <v>8.11</v>
      </c>
      <c r="L170" t="s">
        <v>1290</v>
      </c>
      <c r="M170" s="6">
        <f t="shared" si="5"/>
        <v>5.1821086261980828E-2</v>
      </c>
      <c r="N170" s="6" t="str" cm="1">
        <f t="array" ref="N170">_xlfn.IFS('Data Cleaning &amp; Transf'!H170&lt;500,"LOW",AND('Data Cleaning &amp; Transf'!H170 &gt;500,'Data Cleaning &amp; Transf'!H170&lt;1000),"Medium",'Data Cleaning &amp; Transf'!H170&gt;1000,"High")</f>
        <v>LOW</v>
      </c>
    </row>
    <row r="171" spans="1:14" x14ac:dyDescent="0.3">
      <c r="A171" t="s">
        <v>180</v>
      </c>
      <c r="B171" s="2" t="s">
        <v>609</v>
      </c>
      <c r="C171" s="9" t="str">
        <f t="shared" si="4"/>
        <v>09-2023</v>
      </c>
      <c r="D171" t="s">
        <v>783</v>
      </c>
      <c r="E171" t="s">
        <v>788</v>
      </c>
      <c r="F171" t="s">
        <v>793</v>
      </c>
      <c r="G171" t="s">
        <v>970</v>
      </c>
      <c r="H171">
        <v>800.7</v>
      </c>
      <c r="I171">
        <v>3</v>
      </c>
      <c r="J171">
        <v>0.05</v>
      </c>
      <c r="K171">
        <v>23.74</v>
      </c>
      <c r="L171" t="s">
        <v>1289</v>
      </c>
      <c r="M171" s="6">
        <f t="shared" si="5"/>
        <v>2.9649057075059319E-2</v>
      </c>
      <c r="N171" s="6" t="str" cm="1">
        <f t="array" ref="N171">_xlfn.IFS('Data Cleaning &amp; Transf'!H171&lt;500,"LOW",AND('Data Cleaning &amp; Transf'!H171 &gt;500,'Data Cleaning &amp; Transf'!H171&lt;1000),"Medium",'Data Cleaning &amp; Transf'!H171&gt;1000,"High")</f>
        <v>Medium</v>
      </c>
    </row>
    <row r="172" spans="1:14" x14ac:dyDescent="0.3">
      <c r="A172" t="s">
        <v>181</v>
      </c>
      <c r="B172" s="2" t="s">
        <v>647</v>
      </c>
      <c r="C172" s="9" t="str">
        <f t="shared" si="4"/>
        <v>07-2023</v>
      </c>
      <c r="D172" t="s">
        <v>785</v>
      </c>
      <c r="E172" t="s">
        <v>789</v>
      </c>
      <c r="F172" t="s">
        <v>794</v>
      </c>
      <c r="G172" t="s">
        <v>971</v>
      </c>
      <c r="H172">
        <v>778.01</v>
      </c>
      <c r="I172">
        <v>3</v>
      </c>
      <c r="J172">
        <v>0.2</v>
      </c>
      <c r="K172">
        <v>-55.28</v>
      </c>
      <c r="L172" t="s">
        <v>1290</v>
      </c>
      <c r="M172" s="6">
        <f t="shared" si="5"/>
        <v>-7.1053071297284096E-2</v>
      </c>
      <c r="N172" s="6" t="str" cm="1">
        <f t="array" ref="N172">_xlfn.IFS('Data Cleaning &amp; Transf'!H172&lt;500,"LOW",AND('Data Cleaning &amp; Transf'!H172 &gt;500,'Data Cleaning &amp; Transf'!H172&lt;1000),"Medium",'Data Cleaning &amp; Transf'!H172&gt;1000,"High")</f>
        <v>Medium</v>
      </c>
    </row>
    <row r="173" spans="1:14" x14ac:dyDescent="0.3">
      <c r="A173" t="s">
        <v>182</v>
      </c>
      <c r="B173" s="2" t="s">
        <v>648</v>
      </c>
      <c r="C173" s="9" t="str">
        <f t="shared" si="4"/>
        <v>12-2023</v>
      </c>
      <c r="D173" t="s">
        <v>785</v>
      </c>
      <c r="E173" t="s">
        <v>788</v>
      </c>
      <c r="F173" t="s">
        <v>796</v>
      </c>
      <c r="G173" t="s">
        <v>972</v>
      </c>
      <c r="H173">
        <v>476.17</v>
      </c>
      <c r="I173">
        <v>5</v>
      </c>
      <c r="J173">
        <v>0.15</v>
      </c>
      <c r="K173">
        <v>61.58</v>
      </c>
      <c r="L173" t="s">
        <v>1291</v>
      </c>
      <c r="M173" s="6">
        <f t="shared" si="5"/>
        <v>0.12932356091311925</v>
      </c>
      <c r="N173" s="6" t="str" cm="1">
        <f t="array" ref="N173">_xlfn.IFS('Data Cleaning &amp; Transf'!H173&lt;500,"LOW",AND('Data Cleaning &amp; Transf'!H173 &gt;500,'Data Cleaning &amp; Transf'!H173&lt;1000),"Medium",'Data Cleaning &amp; Transf'!H173&gt;1000,"High")</f>
        <v>LOW</v>
      </c>
    </row>
    <row r="174" spans="1:14" x14ac:dyDescent="0.3">
      <c r="A174" t="s">
        <v>183</v>
      </c>
      <c r="B174" s="2" t="s">
        <v>649</v>
      </c>
      <c r="C174" s="9" t="str">
        <f t="shared" si="4"/>
        <v>10-2023</v>
      </c>
      <c r="D174" t="s">
        <v>785</v>
      </c>
      <c r="E174" t="s">
        <v>789</v>
      </c>
      <c r="F174" t="s">
        <v>799</v>
      </c>
      <c r="G174" t="s">
        <v>973</v>
      </c>
      <c r="H174">
        <v>215.93</v>
      </c>
      <c r="I174">
        <v>6</v>
      </c>
      <c r="J174">
        <v>0.05</v>
      </c>
      <c r="K174">
        <v>40.29</v>
      </c>
      <c r="L174" t="s">
        <v>1291</v>
      </c>
      <c r="M174" s="6">
        <f t="shared" si="5"/>
        <v>0.18658824619089517</v>
      </c>
      <c r="N174" s="6" t="str" cm="1">
        <f t="array" ref="N174">_xlfn.IFS('Data Cleaning &amp; Transf'!H174&lt;500,"LOW",AND('Data Cleaning &amp; Transf'!H174 &gt;500,'Data Cleaning &amp; Transf'!H174&lt;1000),"Medium",'Data Cleaning &amp; Transf'!H174&gt;1000,"High")</f>
        <v>LOW</v>
      </c>
    </row>
    <row r="175" spans="1:14" x14ac:dyDescent="0.3">
      <c r="A175" t="s">
        <v>184</v>
      </c>
      <c r="B175" s="2" t="s">
        <v>650</v>
      </c>
      <c r="C175" s="9" t="str">
        <f t="shared" si="4"/>
        <v>12-2023</v>
      </c>
      <c r="D175" t="s">
        <v>783</v>
      </c>
      <c r="E175" t="s">
        <v>787</v>
      </c>
      <c r="F175" t="s">
        <v>800</v>
      </c>
      <c r="G175" t="s">
        <v>974</v>
      </c>
      <c r="H175">
        <v>1046.21</v>
      </c>
      <c r="I175">
        <v>4</v>
      </c>
      <c r="J175">
        <v>0.1</v>
      </c>
      <c r="K175">
        <v>116.04</v>
      </c>
      <c r="L175" t="s">
        <v>1290</v>
      </c>
      <c r="M175" s="6">
        <f t="shared" si="5"/>
        <v>0.11091463472916528</v>
      </c>
      <c r="N175" s="6" t="str" cm="1">
        <f t="array" ref="N175">_xlfn.IFS('Data Cleaning &amp; Transf'!H175&lt;500,"LOW",AND('Data Cleaning &amp; Transf'!H175 &gt;500,'Data Cleaning &amp; Transf'!H175&lt;1000),"Medium",'Data Cleaning &amp; Transf'!H175&gt;1000,"High")</f>
        <v>High</v>
      </c>
    </row>
    <row r="176" spans="1:14" x14ac:dyDescent="0.3">
      <c r="A176" t="s">
        <v>185</v>
      </c>
      <c r="B176" s="2" t="s">
        <v>651</v>
      </c>
      <c r="C176" s="9" t="str">
        <f t="shared" si="4"/>
        <v>05-2023</v>
      </c>
      <c r="D176" t="s">
        <v>784</v>
      </c>
      <c r="E176" t="s">
        <v>787</v>
      </c>
      <c r="F176" t="s">
        <v>801</v>
      </c>
      <c r="G176" t="s">
        <v>975</v>
      </c>
      <c r="H176">
        <v>1969.98</v>
      </c>
      <c r="I176">
        <v>8</v>
      </c>
      <c r="J176">
        <v>0.1</v>
      </c>
      <c r="K176">
        <v>-11.37</v>
      </c>
      <c r="L176" t="s">
        <v>1289</v>
      </c>
      <c r="M176" s="6">
        <f t="shared" si="5"/>
        <v>-5.7716321993116675E-3</v>
      </c>
      <c r="N176" s="6" t="str" cm="1">
        <f t="array" ref="N176">_xlfn.IFS('Data Cleaning &amp; Transf'!H176&lt;500,"LOW",AND('Data Cleaning &amp; Transf'!H176 &gt;500,'Data Cleaning &amp; Transf'!H176&lt;1000),"Medium",'Data Cleaning &amp; Transf'!H176&gt;1000,"High")</f>
        <v>High</v>
      </c>
    </row>
    <row r="177" spans="1:14" x14ac:dyDescent="0.3">
      <c r="A177" t="s">
        <v>186</v>
      </c>
      <c r="B177" s="2" t="s">
        <v>652</v>
      </c>
      <c r="C177" s="9" t="str">
        <f t="shared" si="4"/>
        <v>10-2023</v>
      </c>
      <c r="D177" t="s">
        <v>784</v>
      </c>
      <c r="E177" t="s">
        <v>789</v>
      </c>
      <c r="F177" t="s">
        <v>799</v>
      </c>
      <c r="G177" t="s">
        <v>976</v>
      </c>
      <c r="H177">
        <v>294.11</v>
      </c>
      <c r="I177">
        <v>6</v>
      </c>
      <c r="J177">
        <v>0.2</v>
      </c>
      <c r="K177">
        <v>-30.58</v>
      </c>
      <c r="L177" t="s">
        <v>1289</v>
      </c>
      <c r="M177" s="6">
        <f t="shared" si="5"/>
        <v>-0.10397470334228689</v>
      </c>
      <c r="N177" s="6" t="str" cm="1">
        <f t="array" ref="N177">_xlfn.IFS('Data Cleaning &amp; Transf'!H177&lt;500,"LOW",AND('Data Cleaning &amp; Transf'!H177 &gt;500,'Data Cleaning &amp; Transf'!H177&lt;1000),"Medium",'Data Cleaning &amp; Transf'!H177&gt;1000,"High")</f>
        <v>LOW</v>
      </c>
    </row>
    <row r="178" spans="1:14" x14ac:dyDescent="0.3">
      <c r="A178" t="s">
        <v>187</v>
      </c>
      <c r="B178" s="2" t="s">
        <v>592</v>
      </c>
      <c r="C178" s="9" t="str">
        <f t="shared" si="4"/>
        <v>07-2023</v>
      </c>
      <c r="D178" t="s">
        <v>785</v>
      </c>
      <c r="E178" t="s">
        <v>787</v>
      </c>
      <c r="F178" t="s">
        <v>801</v>
      </c>
      <c r="G178" t="s">
        <v>977</v>
      </c>
      <c r="H178">
        <v>1377.61</v>
      </c>
      <c r="I178">
        <v>7</v>
      </c>
      <c r="J178">
        <v>0</v>
      </c>
      <c r="K178">
        <v>253.25</v>
      </c>
      <c r="L178" t="s">
        <v>1289</v>
      </c>
      <c r="M178" s="6">
        <f t="shared" si="5"/>
        <v>0.18383286997045609</v>
      </c>
      <c r="N178" s="6" t="str" cm="1">
        <f t="array" ref="N178">_xlfn.IFS('Data Cleaning &amp; Transf'!H178&lt;500,"LOW",AND('Data Cleaning &amp; Transf'!H178 &gt;500,'Data Cleaning &amp; Transf'!H178&lt;1000),"Medium",'Data Cleaning &amp; Transf'!H178&gt;1000,"High")</f>
        <v>High</v>
      </c>
    </row>
    <row r="179" spans="1:14" x14ac:dyDescent="0.3">
      <c r="A179" t="s">
        <v>188</v>
      </c>
      <c r="B179" s="2" t="s">
        <v>653</v>
      </c>
      <c r="C179" s="9" t="str">
        <f t="shared" si="4"/>
        <v>10-2023</v>
      </c>
      <c r="D179" t="s">
        <v>785</v>
      </c>
      <c r="E179" t="s">
        <v>789</v>
      </c>
      <c r="F179" t="s">
        <v>798</v>
      </c>
      <c r="G179" t="s">
        <v>978</v>
      </c>
      <c r="H179">
        <v>790.02</v>
      </c>
      <c r="I179">
        <v>6</v>
      </c>
      <c r="J179">
        <v>0.05</v>
      </c>
      <c r="K179">
        <v>68.98</v>
      </c>
      <c r="L179" t="s">
        <v>1289</v>
      </c>
      <c r="M179" s="6">
        <f t="shared" si="5"/>
        <v>8.7314245208982053E-2</v>
      </c>
      <c r="N179" s="6" t="str" cm="1">
        <f t="array" ref="N179">_xlfn.IFS('Data Cleaning &amp; Transf'!H179&lt;500,"LOW",AND('Data Cleaning &amp; Transf'!H179 &gt;500,'Data Cleaning &amp; Transf'!H179&lt;1000),"Medium",'Data Cleaning &amp; Transf'!H179&gt;1000,"High")</f>
        <v>Medium</v>
      </c>
    </row>
    <row r="180" spans="1:14" x14ac:dyDescent="0.3">
      <c r="A180" t="s">
        <v>189</v>
      </c>
      <c r="B180" s="2" t="s">
        <v>543</v>
      </c>
      <c r="C180" s="9" t="str">
        <f t="shared" si="4"/>
        <v>04-2023</v>
      </c>
      <c r="D180" t="s">
        <v>786</v>
      </c>
      <c r="E180" t="s">
        <v>787</v>
      </c>
      <c r="F180" t="s">
        <v>790</v>
      </c>
      <c r="G180" t="s">
        <v>979</v>
      </c>
      <c r="H180">
        <v>984.04</v>
      </c>
      <c r="I180">
        <v>3</v>
      </c>
      <c r="J180">
        <v>0.15</v>
      </c>
      <c r="K180">
        <v>144.03</v>
      </c>
      <c r="L180" t="s">
        <v>1290</v>
      </c>
      <c r="M180" s="6">
        <f t="shared" si="5"/>
        <v>0.14636600138205766</v>
      </c>
      <c r="N180" s="6" t="str" cm="1">
        <f t="array" ref="N180">_xlfn.IFS('Data Cleaning &amp; Transf'!H180&lt;500,"LOW",AND('Data Cleaning &amp; Transf'!H180 &gt;500,'Data Cleaning &amp; Transf'!H180&lt;1000),"Medium",'Data Cleaning &amp; Transf'!H180&gt;1000,"High")</f>
        <v>Medium</v>
      </c>
    </row>
    <row r="181" spans="1:14" x14ac:dyDescent="0.3">
      <c r="A181" t="s">
        <v>190</v>
      </c>
      <c r="B181" s="2" t="s">
        <v>654</v>
      </c>
      <c r="C181" s="9" t="str">
        <f t="shared" si="4"/>
        <v>03-2023</v>
      </c>
      <c r="D181" t="s">
        <v>784</v>
      </c>
      <c r="E181" t="s">
        <v>789</v>
      </c>
      <c r="F181" t="s">
        <v>794</v>
      </c>
      <c r="G181" t="s">
        <v>980</v>
      </c>
      <c r="H181">
        <v>1548.45</v>
      </c>
      <c r="I181">
        <v>10</v>
      </c>
      <c r="J181">
        <v>0</v>
      </c>
      <c r="K181">
        <v>212.95</v>
      </c>
      <c r="L181" t="s">
        <v>1290</v>
      </c>
      <c r="M181" s="6">
        <f t="shared" si="5"/>
        <v>0.13752462139558913</v>
      </c>
      <c r="N181" s="6" t="str" cm="1">
        <f t="array" ref="N181">_xlfn.IFS('Data Cleaning &amp; Transf'!H181&lt;500,"LOW",AND('Data Cleaning &amp; Transf'!H181 &gt;500,'Data Cleaning &amp; Transf'!H181&lt;1000),"Medium",'Data Cleaning &amp; Transf'!H181&gt;1000,"High")</f>
        <v>High</v>
      </c>
    </row>
    <row r="182" spans="1:14" x14ac:dyDescent="0.3">
      <c r="A182" t="s">
        <v>191</v>
      </c>
      <c r="B182" s="2" t="s">
        <v>655</v>
      </c>
      <c r="C182" s="9" t="str">
        <f t="shared" si="4"/>
        <v>08-2023</v>
      </c>
      <c r="D182" t="s">
        <v>785</v>
      </c>
      <c r="E182" t="s">
        <v>788</v>
      </c>
      <c r="F182" t="s">
        <v>791</v>
      </c>
      <c r="G182" t="s">
        <v>981</v>
      </c>
      <c r="H182">
        <v>1538.77</v>
      </c>
      <c r="I182">
        <v>3</v>
      </c>
      <c r="J182">
        <v>0</v>
      </c>
      <c r="K182">
        <v>161.37</v>
      </c>
      <c r="L182" t="s">
        <v>1291</v>
      </c>
      <c r="M182" s="6">
        <f t="shared" si="5"/>
        <v>0.10486947367052907</v>
      </c>
      <c r="N182" s="6" t="str" cm="1">
        <f t="array" ref="N182">_xlfn.IFS('Data Cleaning &amp; Transf'!H182&lt;500,"LOW",AND('Data Cleaning &amp; Transf'!H182 &gt;500,'Data Cleaning &amp; Transf'!H182&lt;1000),"Medium",'Data Cleaning &amp; Transf'!H182&gt;1000,"High")</f>
        <v>High</v>
      </c>
    </row>
    <row r="183" spans="1:14" x14ac:dyDescent="0.3">
      <c r="A183" t="s">
        <v>192</v>
      </c>
      <c r="B183" s="2" t="s">
        <v>656</v>
      </c>
      <c r="C183" s="9" t="str">
        <f t="shared" si="4"/>
        <v>10-2023</v>
      </c>
      <c r="D183" t="s">
        <v>786</v>
      </c>
      <c r="E183" t="s">
        <v>789</v>
      </c>
      <c r="F183" t="s">
        <v>797</v>
      </c>
      <c r="G183" t="s">
        <v>982</v>
      </c>
      <c r="H183">
        <v>1173.51</v>
      </c>
      <c r="I183">
        <v>4</v>
      </c>
      <c r="J183">
        <v>0.15</v>
      </c>
      <c r="K183">
        <v>13.14</v>
      </c>
      <c r="L183" t="s">
        <v>1289</v>
      </c>
      <c r="M183" s="6">
        <f t="shared" si="5"/>
        <v>1.1197177697676202E-2</v>
      </c>
      <c r="N183" s="6" t="str" cm="1">
        <f t="array" ref="N183">_xlfn.IFS('Data Cleaning &amp; Transf'!H183&lt;500,"LOW",AND('Data Cleaning &amp; Transf'!H183 &gt;500,'Data Cleaning &amp; Transf'!H183&lt;1000),"Medium",'Data Cleaning &amp; Transf'!H183&gt;1000,"High")</f>
        <v>High</v>
      </c>
    </row>
    <row r="184" spans="1:14" x14ac:dyDescent="0.3">
      <c r="A184" t="s">
        <v>193</v>
      </c>
      <c r="B184" s="2" t="s">
        <v>657</v>
      </c>
      <c r="C184" s="9" t="str">
        <f t="shared" si="4"/>
        <v>09-2023</v>
      </c>
      <c r="D184" t="s">
        <v>784</v>
      </c>
      <c r="E184" t="s">
        <v>787</v>
      </c>
      <c r="F184" t="s">
        <v>790</v>
      </c>
      <c r="G184" t="s">
        <v>983</v>
      </c>
      <c r="H184">
        <v>407.98</v>
      </c>
      <c r="I184">
        <v>8</v>
      </c>
      <c r="J184">
        <v>0</v>
      </c>
      <c r="K184">
        <v>92.46</v>
      </c>
      <c r="L184" t="s">
        <v>1289</v>
      </c>
      <c r="M184" s="6">
        <f t="shared" si="5"/>
        <v>0.22662875631158388</v>
      </c>
      <c r="N184" s="6" t="str" cm="1">
        <f t="array" ref="N184">_xlfn.IFS('Data Cleaning &amp; Transf'!H184&lt;500,"LOW",AND('Data Cleaning &amp; Transf'!H184 &gt;500,'Data Cleaning &amp; Transf'!H184&lt;1000),"Medium",'Data Cleaning &amp; Transf'!H184&gt;1000,"High")</f>
        <v>LOW</v>
      </c>
    </row>
    <row r="185" spans="1:14" x14ac:dyDescent="0.3">
      <c r="A185" t="s">
        <v>194</v>
      </c>
      <c r="B185" s="2" t="s">
        <v>571</v>
      </c>
      <c r="C185" s="9" t="str">
        <f t="shared" si="4"/>
        <v>10-2023</v>
      </c>
      <c r="D185" t="s">
        <v>784</v>
      </c>
      <c r="E185" t="s">
        <v>788</v>
      </c>
      <c r="F185" t="s">
        <v>795</v>
      </c>
      <c r="G185" t="s">
        <v>984</v>
      </c>
      <c r="H185">
        <v>853.64</v>
      </c>
      <c r="I185">
        <v>8</v>
      </c>
      <c r="J185">
        <v>0.15</v>
      </c>
      <c r="K185">
        <v>-52.86</v>
      </c>
      <c r="L185" t="s">
        <v>1291</v>
      </c>
      <c r="M185" s="6">
        <f t="shared" si="5"/>
        <v>-6.192305890070756E-2</v>
      </c>
      <c r="N185" s="6" t="str" cm="1">
        <f t="array" ref="N185">_xlfn.IFS('Data Cleaning &amp; Transf'!H185&lt;500,"LOW",AND('Data Cleaning &amp; Transf'!H185 &gt;500,'Data Cleaning &amp; Transf'!H185&lt;1000),"Medium",'Data Cleaning &amp; Transf'!H185&gt;1000,"High")</f>
        <v>Medium</v>
      </c>
    </row>
    <row r="186" spans="1:14" x14ac:dyDescent="0.3">
      <c r="A186" t="s">
        <v>195</v>
      </c>
      <c r="B186" s="2" t="s">
        <v>658</v>
      </c>
      <c r="C186" s="9" t="str">
        <f t="shared" si="4"/>
        <v>01-2023</v>
      </c>
      <c r="D186" t="s">
        <v>784</v>
      </c>
      <c r="E186" t="s">
        <v>789</v>
      </c>
      <c r="F186" t="s">
        <v>799</v>
      </c>
      <c r="G186" t="s">
        <v>985</v>
      </c>
      <c r="H186">
        <v>596.01</v>
      </c>
      <c r="I186">
        <v>6</v>
      </c>
      <c r="J186">
        <v>0</v>
      </c>
      <c r="K186">
        <v>51.57</v>
      </c>
      <c r="L186" t="s">
        <v>1291</v>
      </c>
      <c r="M186" s="6">
        <f t="shared" si="5"/>
        <v>8.6525393869230388E-2</v>
      </c>
      <c r="N186" s="6" t="str" cm="1">
        <f t="array" ref="N186">_xlfn.IFS('Data Cleaning &amp; Transf'!H186&lt;500,"LOW",AND('Data Cleaning &amp; Transf'!H186 &gt;500,'Data Cleaning &amp; Transf'!H186&lt;1000),"Medium",'Data Cleaning &amp; Transf'!H186&gt;1000,"High")</f>
        <v>Medium</v>
      </c>
    </row>
    <row r="187" spans="1:14" x14ac:dyDescent="0.3">
      <c r="A187" t="s">
        <v>196</v>
      </c>
      <c r="B187" s="2" t="s">
        <v>659</v>
      </c>
      <c r="C187" s="9" t="str">
        <f t="shared" si="4"/>
        <v>02-2023</v>
      </c>
      <c r="D187" t="s">
        <v>783</v>
      </c>
      <c r="E187" t="s">
        <v>789</v>
      </c>
      <c r="F187" t="s">
        <v>799</v>
      </c>
      <c r="G187" t="s">
        <v>986</v>
      </c>
      <c r="H187">
        <v>1776.37</v>
      </c>
      <c r="I187">
        <v>8</v>
      </c>
      <c r="J187">
        <v>0.15</v>
      </c>
      <c r="K187">
        <v>-28.09</v>
      </c>
      <c r="L187" t="s">
        <v>1291</v>
      </c>
      <c r="M187" s="6">
        <f t="shared" si="5"/>
        <v>-1.581314703580898E-2</v>
      </c>
      <c r="N187" s="6" t="str" cm="1">
        <f t="array" ref="N187">_xlfn.IFS('Data Cleaning &amp; Transf'!H187&lt;500,"LOW",AND('Data Cleaning &amp; Transf'!H187 &gt;500,'Data Cleaning &amp; Transf'!H187&lt;1000),"Medium",'Data Cleaning &amp; Transf'!H187&gt;1000,"High")</f>
        <v>High</v>
      </c>
    </row>
    <row r="188" spans="1:14" x14ac:dyDescent="0.3">
      <c r="A188" t="s">
        <v>197</v>
      </c>
      <c r="B188" s="2" t="s">
        <v>660</v>
      </c>
      <c r="C188" s="9" t="str">
        <f t="shared" si="4"/>
        <v>10-2023</v>
      </c>
      <c r="D188" t="s">
        <v>785</v>
      </c>
      <c r="E188" t="s">
        <v>787</v>
      </c>
      <c r="F188" t="s">
        <v>792</v>
      </c>
      <c r="G188" t="s">
        <v>987</v>
      </c>
      <c r="H188">
        <v>428.92</v>
      </c>
      <c r="I188">
        <v>4</v>
      </c>
      <c r="J188">
        <v>0.05</v>
      </c>
      <c r="K188">
        <v>39.130000000000003</v>
      </c>
      <c r="L188" t="s">
        <v>1289</v>
      </c>
      <c r="M188" s="6">
        <f t="shared" si="5"/>
        <v>9.1229133637974455E-2</v>
      </c>
      <c r="N188" s="6" t="str" cm="1">
        <f t="array" ref="N188">_xlfn.IFS('Data Cleaning &amp; Transf'!H188&lt;500,"LOW",AND('Data Cleaning &amp; Transf'!H188 &gt;500,'Data Cleaning &amp; Transf'!H188&lt;1000),"Medium",'Data Cleaning &amp; Transf'!H188&gt;1000,"High")</f>
        <v>LOW</v>
      </c>
    </row>
    <row r="189" spans="1:14" x14ac:dyDescent="0.3">
      <c r="A189" t="s">
        <v>198</v>
      </c>
      <c r="B189" s="2" t="s">
        <v>571</v>
      </c>
      <c r="C189" s="9" t="str">
        <f t="shared" si="4"/>
        <v>10-2023</v>
      </c>
      <c r="D189" t="s">
        <v>786</v>
      </c>
      <c r="E189" t="s">
        <v>788</v>
      </c>
      <c r="F189" t="s">
        <v>791</v>
      </c>
      <c r="G189" t="s">
        <v>988</v>
      </c>
      <c r="H189">
        <v>1037.83</v>
      </c>
      <c r="I189">
        <v>4</v>
      </c>
      <c r="J189">
        <v>0.1</v>
      </c>
      <c r="K189">
        <v>148.38999999999999</v>
      </c>
      <c r="L189" t="s">
        <v>1289</v>
      </c>
      <c r="M189" s="6">
        <f t="shared" si="5"/>
        <v>0.14298102772130311</v>
      </c>
      <c r="N189" s="6" t="str" cm="1">
        <f t="array" ref="N189">_xlfn.IFS('Data Cleaning &amp; Transf'!H189&lt;500,"LOW",AND('Data Cleaning &amp; Transf'!H189 &gt;500,'Data Cleaning &amp; Transf'!H189&lt;1000),"Medium",'Data Cleaning &amp; Transf'!H189&gt;1000,"High")</f>
        <v>High</v>
      </c>
    </row>
    <row r="190" spans="1:14" x14ac:dyDescent="0.3">
      <c r="A190" t="s">
        <v>199</v>
      </c>
      <c r="B190" s="2" t="s">
        <v>661</v>
      </c>
      <c r="C190" s="9" t="str">
        <f t="shared" si="4"/>
        <v>11-2023</v>
      </c>
      <c r="D190" t="s">
        <v>785</v>
      </c>
      <c r="E190" t="s">
        <v>788</v>
      </c>
      <c r="F190" t="s">
        <v>796</v>
      </c>
      <c r="G190" t="s">
        <v>989</v>
      </c>
      <c r="H190">
        <v>1841.02</v>
      </c>
      <c r="I190">
        <v>10</v>
      </c>
      <c r="J190">
        <v>0</v>
      </c>
      <c r="K190">
        <v>425.35</v>
      </c>
      <c r="L190" t="s">
        <v>1291</v>
      </c>
      <c r="M190" s="6">
        <f t="shared" si="5"/>
        <v>0.23104040151655061</v>
      </c>
      <c r="N190" s="6" t="str" cm="1">
        <f t="array" ref="N190">_xlfn.IFS('Data Cleaning &amp; Transf'!H190&lt;500,"LOW",AND('Data Cleaning &amp; Transf'!H190 &gt;500,'Data Cleaning &amp; Transf'!H190&lt;1000),"Medium",'Data Cleaning &amp; Transf'!H190&gt;1000,"High")</f>
        <v>High</v>
      </c>
    </row>
    <row r="191" spans="1:14" x14ac:dyDescent="0.3">
      <c r="A191" t="s">
        <v>200</v>
      </c>
      <c r="B191" s="2" t="s">
        <v>662</v>
      </c>
      <c r="C191" s="9" t="str">
        <f t="shared" si="4"/>
        <v>06-2023</v>
      </c>
      <c r="D191" t="s">
        <v>783</v>
      </c>
      <c r="E191" t="s">
        <v>787</v>
      </c>
      <c r="F191" t="s">
        <v>792</v>
      </c>
      <c r="G191" t="s">
        <v>990</v>
      </c>
      <c r="H191">
        <v>375.46</v>
      </c>
      <c r="I191">
        <v>6</v>
      </c>
      <c r="J191">
        <v>0</v>
      </c>
      <c r="K191">
        <v>30.42</v>
      </c>
      <c r="L191" t="s">
        <v>1291</v>
      </c>
      <c r="M191" s="6">
        <f t="shared" si="5"/>
        <v>8.1020614712619191E-2</v>
      </c>
      <c r="N191" s="6" t="str" cm="1">
        <f t="array" ref="N191">_xlfn.IFS('Data Cleaning &amp; Transf'!H191&lt;500,"LOW",AND('Data Cleaning &amp; Transf'!H191 &gt;500,'Data Cleaning &amp; Transf'!H191&lt;1000),"Medium",'Data Cleaning &amp; Transf'!H191&gt;1000,"High")</f>
        <v>LOW</v>
      </c>
    </row>
    <row r="192" spans="1:14" x14ac:dyDescent="0.3">
      <c r="A192" t="s">
        <v>201</v>
      </c>
      <c r="B192" s="2" t="s">
        <v>572</v>
      </c>
      <c r="C192" s="9" t="str">
        <f t="shared" si="4"/>
        <v>12-2023</v>
      </c>
      <c r="D192" t="s">
        <v>784</v>
      </c>
      <c r="E192" t="s">
        <v>787</v>
      </c>
      <c r="F192" t="s">
        <v>792</v>
      </c>
      <c r="G192" t="s">
        <v>991</v>
      </c>
      <c r="H192">
        <v>201.04</v>
      </c>
      <c r="I192">
        <v>4</v>
      </c>
      <c r="J192">
        <v>0.2</v>
      </c>
      <c r="K192">
        <v>-20.99</v>
      </c>
      <c r="L192" t="s">
        <v>1290</v>
      </c>
      <c r="M192" s="6">
        <f t="shared" si="5"/>
        <v>-0.10440708316752885</v>
      </c>
      <c r="N192" s="6" t="str" cm="1">
        <f t="array" ref="N192">_xlfn.IFS('Data Cleaning &amp; Transf'!H192&lt;500,"LOW",AND('Data Cleaning &amp; Transf'!H192 &gt;500,'Data Cleaning &amp; Transf'!H192&lt;1000),"Medium",'Data Cleaning &amp; Transf'!H192&gt;1000,"High")</f>
        <v>LOW</v>
      </c>
    </row>
    <row r="193" spans="1:14" x14ac:dyDescent="0.3">
      <c r="A193" t="s">
        <v>202</v>
      </c>
      <c r="B193" s="2" t="s">
        <v>527</v>
      </c>
      <c r="C193" s="9" t="str">
        <f t="shared" si="4"/>
        <v>03-2023</v>
      </c>
      <c r="D193" t="s">
        <v>783</v>
      </c>
      <c r="E193" t="s">
        <v>789</v>
      </c>
      <c r="F193" t="s">
        <v>797</v>
      </c>
      <c r="G193" t="s">
        <v>992</v>
      </c>
      <c r="H193">
        <v>1157.77</v>
      </c>
      <c r="I193">
        <v>5</v>
      </c>
      <c r="J193">
        <v>0.15</v>
      </c>
      <c r="K193">
        <v>-93.03</v>
      </c>
      <c r="L193" t="s">
        <v>1291</v>
      </c>
      <c r="M193" s="6">
        <f t="shared" si="5"/>
        <v>-8.0352747091391216E-2</v>
      </c>
      <c r="N193" s="6" t="str" cm="1">
        <f t="array" ref="N193">_xlfn.IFS('Data Cleaning &amp; Transf'!H193&lt;500,"LOW",AND('Data Cleaning &amp; Transf'!H193 &gt;500,'Data Cleaning &amp; Transf'!H193&lt;1000),"Medium",'Data Cleaning &amp; Transf'!H193&gt;1000,"High")</f>
        <v>High</v>
      </c>
    </row>
    <row r="194" spans="1:14" x14ac:dyDescent="0.3">
      <c r="A194" t="s">
        <v>203</v>
      </c>
      <c r="B194" s="2" t="s">
        <v>663</v>
      </c>
      <c r="C194" s="9" t="str">
        <f t="shared" si="4"/>
        <v>07-2023</v>
      </c>
      <c r="D194" t="s">
        <v>784</v>
      </c>
      <c r="E194" t="s">
        <v>787</v>
      </c>
      <c r="F194" t="s">
        <v>801</v>
      </c>
      <c r="G194" t="s">
        <v>993</v>
      </c>
      <c r="H194">
        <v>646.19000000000005</v>
      </c>
      <c r="I194">
        <v>1</v>
      </c>
      <c r="J194">
        <v>0.15</v>
      </c>
      <c r="K194">
        <v>-11.9</v>
      </c>
      <c r="L194" t="s">
        <v>1291</v>
      </c>
      <c r="M194" s="6">
        <f t="shared" si="5"/>
        <v>-1.8415636267970721E-2</v>
      </c>
      <c r="N194" s="6" t="str" cm="1">
        <f t="array" ref="N194">_xlfn.IFS('Data Cleaning &amp; Transf'!H194&lt;500,"LOW",AND('Data Cleaning &amp; Transf'!H194 &gt;500,'Data Cleaning &amp; Transf'!H194&lt;1000),"Medium",'Data Cleaning &amp; Transf'!H194&gt;1000,"High")</f>
        <v>Medium</v>
      </c>
    </row>
    <row r="195" spans="1:14" x14ac:dyDescent="0.3">
      <c r="A195" t="s">
        <v>204</v>
      </c>
      <c r="B195" s="2" t="s">
        <v>664</v>
      </c>
      <c r="C195" s="9" t="str">
        <f t="shared" ref="C195:C258" si="6">TEXT(B195,"MM-YYYY")</f>
        <v>06-2023</v>
      </c>
      <c r="D195" t="s">
        <v>783</v>
      </c>
      <c r="E195" t="s">
        <v>788</v>
      </c>
      <c r="F195" t="s">
        <v>796</v>
      </c>
      <c r="G195" t="s">
        <v>994</v>
      </c>
      <c r="H195">
        <v>1370.37</v>
      </c>
      <c r="I195">
        <v>1</v>
      </c>
      <c r="J195">
        <v>0</v>
      </c>
      <c r="K195">
        <v>166.21</v>
      </c>
      <c r="L195" t="s">
        <v>1291</v>
      </c>
      <c r="M195" s="6">
        <f t="shared" ref="M195:M258" si="7">K195/H195</f>
        <v>0.12128841115903005</v>
      </c>
      <c r="N195" s="6" t="str" cm="1">
        <f t="array" ref="N195">_xlfn.IFS('Data Cleaning &amp; Transf'!H195&lt;500,"LOW",AND('Data Cleaning &amp; Transf'!H195 &gt;500,'Data Cleaning &amp; Transf'!H195&lt;1000),"Medium",'Data Cleaning &amp; Transf'!H195&gt;1000,"High")</f>
        <v>High</v>
      </c>
    </row>
    <row r="196" spans="1:14" x14ac:dyDescent="0.3">
      <c r="A196" t="s">
        <v>205</v>
      </c>
      <c r="B196" s="2" t="s">
        <v>665</v>
      </c>
      <c r="C196" s="9" t="str">
        <f t="shared" si="6"/>
        <v>10-2023</v>
      </c>
      <c r="D196" t="s">
        <v>785</v>
      </c>
      <c r="E196" t="s">
        <v>788</v>
      </c>
      <c r="F196" t="s">
        <v>795</v>
      </c>
      <c r="G196" t="s">
        <v>995</v>
      </c>
      <c r="H196">
        <v>920.7</v>
      </c>
      <c r="I196">
        <v>8</v>
      </c>
      <c r="J196">
        <v>0.15</v>
      </c>
      <c r="K196">
        <v>87.5</v>
      </c>
      <c r="L196" t="s">
        <v>1291</v>
      </c>
      <c r="M196" s="6">
        <f t="shared" si="7"/>
        <v>9.5036385358965997E-2</v>
      </c>
      <c r="N196" s="6" t="str" cm="1">
        <f t="array" ref="N196">_xlfn.IFS('Data Cleaning &amp; Transf'!H196&lt;500,"LOW",AND('Data Cleaning &amp; Transf'!H196 &gt;500,'Data Cleaning &amp; Transf'!H196&lt;1000),"Medium",'Data Cleaning &amp; Transf'!H196&gt;1000,"High")</f>
        <v>Medium</v>
      </c>
    </row>
    <row r="197" spans="1:14" x14ac:dyDescent="0.3">
      <c r="A197" t="s">
        <v>206</v>
      </c>
      <c r="B197" s="2" t="s">
        <v>666</v>
      </c>
      <c r="C197" s="9" t="str">
        <f t="shared" si="6"/>
        <v>02-2023</v>
      </c>
      <c r="D197" t="s">
        <v>785</v>
      </c>
      <c r="E197" t="s">
        <v>788</v>
      </c>
      <c r="F197" t="s">
        <v>793</v>
      </c>
      <c r="G197" t="s">
        <v>996</v>
      </c>
      <c r="H197">
        <v>1733.25</v>
      </c>
      <c r="I197">
        <v>5</v>
      </c>
      <c r="J197">
        <v>0.15</v>
      </c>
      <c r="K197">
        <v>-9.5299999999999994</v>
      </c>
      <c r="L197" t="s">
        <v>1290</v>
      </c>
      <c r="M197" s="6">
        <f t="shared" si="7"/>
        <v>-5.4983412664070383E-3</v>
      </c>
      <c r="N197" s="6" t="str" cm="1">
        <f t="array" ref="N197">_xlfn.IFS('Data Cleaning &amp; Transf'!H197&lt;500,"LOW",AND('Data Cleaning &amp; Transf'!H197 &gt;500,'Data Cleaning &amp; Transf'!H197&lt;1000),"Medium",'Data Cleaning &amp; Transf'!H197&gt;1000,"High")</f>
        <v>High</v>
      </c>
    </row>
    <row r="198" spans="1:14" x14ac:dyDescent="0.3">
      <c r="A198" t="s">
        <v>207</v>
      </c>
      <c r="B198" s="2" t="s">
        <v>527</v>
      </c>
      <c r="C198" s="9" t="str">
        <f t="shared" si="6"/>
        <v>03-2023</v>
      </c>
      <c r="D198" t="s">
        <v>786</v>
      </c>
      <c r="E198" t="s">
        <v>788</v>
      </c>
      <c r="F198" t="s">
        <v>793</v>
      </c>
      <c r="G198" t="s">
        <v>997</v>
      </c>
      <c r="H198">
        <v>1460.76</v>
      </c>
      <c r="I198">
        <v>1</v>
      </c>
      <c r="J198">
        <v>0.1</v>
      </c>
      <c r="K198">
        <v>49.47</v>
      </c>
      <c r="L198" t="s">
        <v>1290</v>
      </c>
      <c r="M198" s="6">
        <f t="shared" si="7"/>
        <v>3.3865932802103017E-2</v>
      </c>
      <c r="N198" s="6" t="str" cm="1">
        <f t="array" ref="N198">_xlfn.IFS('Data Cleaning &amp; Transf'!H198&lt;500,"LOW",AND('Data Cleaning &amp; Transf'!H198 &gt;500,'Data Cleaning &amp; Transf'!H198&lt;1000),"Medium",'Data Cleaning &amp; Transf'!H198&gt;1000,"High")</f>
        <v>High</v>
      </c>
    </row>
    <row r="199" spans="1:14" x14ac:dyDescent="0.3">
      <c r="A199" t="s">
        <v>208</v>
      </c>
      <c r="B199" s="2" t="s">
        <v>513</v>
      </c>
      <c r="C199" s="9" t="str">
        <f t="shared" si="6"/>
        <v>01-2023</v>
      </c>
      <c r="D199" t="s">
        <v>786</v>
      </c>
      <c r="E199" t="s">
        <v>788</v>
      </c>
      <c r="F199" t="s">
        <v>796</v>
      </c>
      <c r="G199" t="s">
        <v>998</v>
      </c>
      <c r="H199">
        <v>228.95</v>
      </c>
      <c r="I199">
        <v>7</v>
      </c>
      <c r="J199">
        <v>0.15</v>
      </c>
      <c r="K199">
        <v>-19.43</v>
      </c>
      <c r="L199" t="s">
        <v>1291</v>
      </c>
      <c r="M199" s="6">
        <f t="shared" si="7"/>
        <v>-8.4865691198951737E-2</v>
      </c>
      <c r="N199" s="6" t="str" cm="1">
        <f t="array" ref="N199">_xlfn.IFS('Data Cleaning &amp; Transf'!H199&lt;500,"LOW",AND('Data Cleaning &amp; Transf'!H199 &gt;500,'Data Cleaning &amp; Transf'!H199&lt;1000),"Medium",'Data Cleaning &amp; Transf'!H199&gt;1000,"High")</f>
        <v>LOW</v>
      </c>
    </row>
    <row r="200" spans="1:14" x14ac:dyDescent="0.3">
      <c r="A200" t="s">
        <v>209</v>
      </c>
      <c r="B200" s="2" t="s">
        <v>518</v>
      </c>
      <c r="C200" s="9" t="str">
        <f t="shared" si="6"/>
        <v>07-2023</v>
      </c>
      <c r="D200" t="s">
        <v>784</v>
      </c>
      <c r="E200" t="s">
        <v>787</v>
      </c>
      <c r="F200" t="s">
        <v>801</v>
      </c>
      <c r="G200" t="s">
        <v>999</v>
      </c>
      <c r="H200">
        <v>1567.59</v>
      </c>
      <c r="I200">
        <v>7</v>
      </c>
      <c r="J200">
        <v>0.1</v>
      </c>
      <c r="K200">
        <v>97.46</v>
      </c>
      <c r="L200" t="s">
        <v>1289</v>
      </c>
      <c r="M200" s="6">
        <f t="shared" si="7"/>
        <v>6.2171868919806833E-2</v>
      </c>
      <c r="N200" s="6" t="str" cm="1">
        <f t="array" ref="N200">_xlfn.IFS('Data Cleaning &amp; Transf'!H200&lt;500,"LOW",AND('Data Cleaning &amp; Transf'!H200 &gt;500,'Data Cleaning &amp; Transf'!H200&lt;1000),"Medium",'Data Cleaning &amp; Transf'!H200&gt;1000,"High")</f>
        <v>High</v>
      </c>
    </row>
    <row r="201" spans="1:14" x14ac:dyDescent="0.3">
      <c r="A201" t="s">
        <v>210</v>
      </c>
      <c r="B201" s="2" t="s">
        <v>667</v>
      </c>
      <c r="C201" s="9" t="str">
        <f t="shared" si="6"/>
        <v>11-2023</v>
      </c>
      <c r="D201" t="s">
        <v>786</v>
      </c>
      <c r="E201" t="s">
        <v>789</v>
      </c>
      <c r="F201" t="s">
        <v>798</v>
      </c>
      <c r="G201" t="s">
        <v>1000</v>
      </c>
      <c r="H201">
        <v>667.77</v>
      </c>
      <c r="I201">
        <v>8</v>
      </c>
      <c r="J201">
        <v>0.2</v>
      </c>
      <c r="K201">
        <v>41.05</v>
      </c>
      <c r="L201" t="s">
        <v>1290</v>
      </c>
      <c r="M201" s="6">
        <f t="shared" si="7"/>
        <v>6.1473261751800769E-2</v>
      </c>
      <c r="N201" s="6" t="str" cm="1">
        <f t="array" ref="N201">_xlfn.IFS('Data Cleaning &amp; Transf'!H201&lt;500,"LOW",AND('Data Cleaning &amp; Transf'!H201 &gt;500,'Data Cleaning &amp; Transf'!H201&lt;1000),"Medium",'Data Cleaning &amp; Transf'!H201&gt;1000,"High")</f>
        <v>Medium</v>
      </c>
    </row>
    <row r="202" spans="1:14" x14ac:dyDescent="0.3">
      <c r="A202" t="s">
        <v>211</v>
      </c>
      <c r="B202" s="2" t="s">
        <v>520</v>
      </c>
      <c r="C202" s="9" t="str">
        <f t="shared" si="6"/>
        <v>08-2023</v>
      </c>
      <c r="D202" t="s">
        <v>785</v>
      </c>
      <c r="E202" t="s">
        <v>789</v>
      </c>
      <c r="F202" t="s">
        <v>794</v>
      </c>
      <c r="G202" t="s">
        <v>1001</v>
      </c>
      <c r="H202">
        <v>186.45</v>
      </c>
      <c r="I202">
        <v>9</v>
      </c>
      <c r="J202">
        <v>0.15</v>
      </c>
      <c r="K202">
        <v>6.48</v>
      </c>
      <c r="L202" t="s">
        <v>1291</v>
      </c>
      <c r="M202" s="6">
        <f t="shared" si="7"/>
        <v>3.4754625905068386E-2</v>
      </c>
      <c r="N202" s="6" t="str" cm="1">
        <f t="array" ref="N202">_xlfn.IFS('Data Cleaning &amp; Transf'!H202&lt;500,"LOW",AND('Data Cleaning &amp; Transf'!H202 &gt;500,'Data Cleaning &amp; Transf'!H202&lt;1000),"Medium",'Data Cleaning &amp; Transf'!H202&gt;1000,"High")</f>
        <v>LOW</v>
      </c>
    </row>
    <row r="203" spans="1:14" x14ac:dyDescent="0.3">
      <c r="A203" t="s">
        <v>212</v>
      </c>
      <c r="B203" s="2" t="s">
        <v>668</v>
      </c>
      <c r="C203" s="9" t="str">
        <f t="shared" si="6"/>
        <v>06-2023</v>
      </c>
      <c r="D203" t="s">
        <v>783</v>
      </c>
      <c r="E203" t="s">
        <v>787</v>
      </c>
      <c r="F203" t="s">
        <v>800</v>
      </c>
      <c r="G203" t="s">
        <v>1002</v>
      </c>
      <c r="H203">
        <v>817.28</v>
      </c>
      <c r="I203">
        <v>7</v>
      </c>
      <c r="J203">
        <v>0.05</v>
      </c>
      <c r="K203">
        <v>93.67</v>
      </c>
      <c r="L203" t="s">
        <v>1291</v>
      </c>
      <c r="M203" s="6">
        <f t="shared" si="7"/>
        <v>0.11461188332028191</v>
      </c>
      <c r="N203" s="6" t="str" cm="1">
        <f t="array" ref="N203">_xlfn.IFS('Data Cleaning &amp; Transf'!H203&lt;500,"LOW",AND('Data Cleaning &amp; Transf'!H203 &gt;500,'Data Cleaning &amp; Transf'!H203&lt;1000),"Medium",'Data Cleaning &amp; Transf'!H203&gt;1000,"High")</f>
        <v>Medium</v>
      </c>
    </row>
    <row r="204" spans="1:14" x14ac:dyDescent="0.3">
      <c r="A204" t="s">
        <v>213</v>
      </c>
      <c r="B204" s="2" t="s">
        <v>669</v>
      </c>
      <c r="C204" s="9" t="str">
        <f t="shared" si="6"/>
        <v>12-2023</v>
      </c>
      <c r="D204" t="s">
        <v>785</v>
      </c>
      <c r="E204" t="s">
        <v>787</v>
      </c>
      <c r="F204" t="s">
        <v>801</v>
      </c>
      <c r="G204" t="s">
        <v>1003</v>
      </c>
      <c r="H204">
        <v>1911.02</v>
      </c>
      <c r="I204">
        <v>10</v>
      </c>
      <c r="J204">
        <v>0.1</v>
      </c>
      <c r="K204">
        <v>7.77</v>
      </c>
      <c r="L204" t="s">
        <v>1290</v>
      </c>
      <c r="M204" s="6">
        <f t="shared" si="7"/>
        <v>4.065891513432617E-3</v>
      </c>
      <c r="N204" s="6" t="str" cm="1">
        <f t="array" ref="N204">_xlfn.IFS('Data Cleaning &amp; Transf'!H204&lt;500,"LOW",AND('Data Cleaning &amp; Transf'!H204 &gt;500,'Data Cleaning &amp; Transf'!H204&lt;1000),"Medium",'Data Cleaning &amp; Transf'!H204&gt;1000,"High")</f>
        <v>High</v>
      </c>
    </row>
    <row r="205" spans="1:14" x14ac:dyDescent="0.3">
      <c r="A205" t="s">
        <v>214</v>
      </c>
      <c r="B205" s="2" t="s">
        <v>646</v>
      </c>
      <c r="C205" s="9" t="str">
        <f t="shared" si="6"/>
        <v>10-2023</v>
      </c>
      <c r="D205" t="s">
        <v>786</v>
      </c>
      <c r="E205" t="s">
        <v>789</v>
      </c>
      <c r="F205" t="s">
        <v>794</v>
      </c>
      <c r="G205" t="s">
        <v>1004</v>
      </c>
      <c r="H205">
        <v>642.91999999999996</v>
      </c>
      <c r="I205">
        <v>6</v>
      </c>
      <c r="J205">
        <v>0.2</v>
      </c>
      <c r="K205">
        <v>14.4</v>
      </c>
      <c r="L205" t="s">
        <v>1290</v>
      </c>
      <c r="M205" s="6">
        <f t="shared" si="7"/>
        <v>2.2397809991911904E-2</v>
      </c>
      <c r="N205" s="6" t="str" cm="1">
        <f t="array" ref="N205">_xlfn.IFS('Data Cleaning &amp; Transf'!H205&lt;500,"LOW",AND('Data Cleaning &amp; Transf'!H205 &gt;500,'Data Cleaning &amp; Transf'!H205&lt;1000),"Medium",'Data Cleaning &amp; Transf'!H205&gt;1000,"High")</f>
        <v>Medium</v>
      </c>
    </row>
    <row r="206" spans="1:14" x14ac:dyDescent="0.3">
      <c r="A206" t="s">
        <v>215</v>
      </c>
      <c r="B206" s="2" t="s">
        <v>670</v>
      </c>
      <c r="C206" s="9" t="str">
        <f t="shared" si="6"/>
        <v>05-2023</v>
      </c>
      <c r="D206" t="s">
        <v>784</v>
      </c>
      <c r="E206" t="s">
        <v>789</v>
      </c>
      <c r="F206" t="s">
        <v>799</v>
      </c>
      <c r="G206" t="s">
        <v>1005</v>
      </c>
      <c r="H206">
        <v>1280.1300000000001</v>
      </c>
      <c r="I206">
        <v>3</v>
      </c>
      <c r="J206">
        <v>0.15</v>
      </c>
      <c r="K206">
        <v>34.14</v>
      </c>
      <c r="L206" t="s">
        <v>1291</v>
      </c>
      <c r="M206" s="6">
        <f t="shared" si="7"/>
        <v>2.6669166412786199E-2</v>
      </c>
      <c r="N206" s="6" t="str" cm="1">
        <f t="array" ref="N206">_xlfn.IFS('Data Cleaning &amp; Transf'!H206&lt;500,"LOW",AND('Data Cleaning &amp; Transf'!H206 &gt;500,'Data Cleaning &amp; Transf'!H206&lt;1000),"Medium",'Data Cleaning &amp; Transf'!H206&gt;1000,"High")</f>
        <v>High</v>
      </c>
    </row>
    <row r="207" spans="1:14" x14ac:dyDescent="0.3">
      <c r="A207" t="s">
        <v>216</v>
      </c>
      <c r="B207" s="2" t="s">
        <v>671</v>
      </c>
      <c r="C207" s="9" t="str">
        <f t="shared" si="6"/>
        <v>12-2023</v>
      </c>
      <c r="D207" t="s">
        <v>785</v>
      </c>
      <c r="E207" t="s">
        <v>788</v>
      </c>
      <c r="F207" t="s">
        <v>796</v>
      </c>
      <c r="G207" t="s">
        <v>1006</v>
      </c>
      <c r="H207">
        <v>495.66</v>
      </c>
      <c r="I207">
        <v>4</v>
      </c>
      <c r="J207">
        <v>0.1</v>
      </c>
      <c r="K207">
        <v>50.79</v>
      </c>
      <c r="L207" t="s">
        <v>1290</v>
      </c>
      <c r="M207" s="6">
        <f t="shared" si="7"/>
        <v>0.10246943469313642</v>
      </c>
      <c r="N207" s="6" t="str" cm="1">
        <f t="array" ref="N207">_xlfn.IFS('Data Cleaning &amp; Transf'!H207&lt;500,"LOW",AND('Data Cleaning &amp; Transf'!H207 &gt;500,'Data Cleaning &amp; Transf'!H207&lt;1000),"Medium",'Data Cleaning &amp; Transf'!H207&gt;1000,"High")</f>
        <v>LOW</v>
      </c>
    </row>
    <row r="208" spans="1:14" x14ac:dyDescent="0.3">
      <c r="A208" t="s">
        <v>217</v>
      </c>
      <c r="B208" s="2" t="s">
        <v>567</v>
      </c>
      <c r="C208" s="9" t="str">
        <f t="shared" si="6"/>
        <v>08-2023</v>
      </c>
      <c r="D208" t="s">
        <v>786</v>
      </c>
      <c r="E208" t="s">
        <v>788</v>
      </c>
      <c r="F208" t="s">
        <v>793</v>
      </c>
      <c r="G208" t="s">
        <v>1007</v>
      </c>
      <c r="H208">
        <v>231.45</v>
      </c>
      <c r="I208">
        <v>8</v>
      </c>
      <c r="J208">
        <v>0.1</v>
      </c>
      <c r="K208">
        <v>-8.41</v>
      </c>
      <c r="L208" t="s">
        <v>1291</v>
      </c>
      <c r="M208" s="6">
        <f t="shared" si="7"/>
        <v>-3.633614171527328E-2</v>
      </c>
      <c r="N208" s="6" t="str" cm="1">
        <f t="array" ref="N208">_xlfn.IFS('Data Cleaning &amp; Transf'!H208&lt;500,"LOW",AND('Data Cleaning &amp; Transf'!H208 &gt;500,'Data Cleaning &amp; Transf'!H208&lt;1000),"Medium",'Data Cleaning &amp; Transf'!H208&gt;1000,"High")</f>
        <v>LOW</v>
      </c>
    </row>
    <row r="209" spans="1:14" x14ac:dyDescent="0.3">
      <c r="A209" t="s">
        <v>218</v>
      </c>
      <c r="B209" s="2" t="s">
        <v>672</v>
      </c>
      <c r="C209" s="9" t="str">
        <f t="shared" si="6"/>
        <v>03-2023</v>
      </c>
      <c r="D209" t="s">
        <v>786</v>
      </c>
      <c r="E209" t="s">
        <v>787</v>
      </c>
      <c r="F209" t="s">
        <v>801</v>
      </c>
      <c r="G209" t="s">
        <v>1008</v>
      </c>
      <c r="H209">
        <v>191.3</v>
      </c>
      <c r="I209">
        <v>3</v>
      </c>
      <c r="J209">
        <v>0.15</v>
      </c>
      <c r="K209">
        <v>23.35</v>
      </c>
      <c r="L209" t="s">
        <v>1290</v>
      </c>
      <c r="M209" s="6">
        <f t="shared" si="7"/>
        <v>0.12205959226346054</v>
      </c>
      <c r="N209" s="6" t="str" cm="1">
        <f t="array" ref="N209">_xlfn.IFS('Data Cleaning &amp; Transf'!H209&lt;500,"LOW",AND('Data Cleaning &amp; Transf'!H209 &gt;500,'Data Cleaning &amp; Transf'!H209&lt;1000),"Medium",'Data Cleaning &amp; Transf'!H209&gt;1000,"High")</f>
        <v>LOW</v>
      </c>
    </row>
    <row r="210" spans="1:14" x14ac:dyDescent="0.3">
      <c r="A210" t="s">
        <v>219</v>
      </c>
      <c r="B210" s="2" t="s">
        <v>575</v>
      </c>
      <c r="C210" s="9" t="str">
        <f t="shared" si="6"/>
        <v>10-2023</v>
      </c>
      <c r="D210" t="s">
        <v>783</v>
      </c>
      <c r="E210" t="s">
        <v>789</v>
      </c>
      <c r="F210" t="s">
        <v>799</v>
      </c>
      <c r="G210" t="s">
        <v>1009</v>
      </c>
      <c r="H210">
        <v>894.73</v>
      </c>
      <c r="I210">
        <v>9</v>
      </c>
      <c r="J210">
        <v>0</v>
      </c>
      <c r="K210">
        <v>155.83000000000001</v>
      </c>
      <c r="L210" t="s">
        <v>1289</v>
      </c>
      <c r="M210" s="6">
        <f t="shared" si="7"/>
        <v>0.17416427302091134</v>
      </c>
      <c r="N210" s="6" t="str" cm="1">
        <f t="array" ref="N210">_xlfn.IFS('Data Cleaning &amp; Transf'!H210&lt;500,"LOW",AND('Data Cleaning &amp; Transf'!H210 &gt;500,'Data Cleaning &amp; Transf'!H210&lt;1000),"Medium",'Data Cleaning &amp; Transf'!H210&gt;1000,"High")</f>
        <v>Medium</v>
      </c>
    </row>
    <row r="211" spans="1:14" x14ac:dyDescent="0.3">
      <c r="A211" t="s">
        <v>220</v>
      </c>
      <c r="B211" s="2" t="s">
        <v>578</v>
      </c>
      <c r="C211" s="9" t="str">
        <f t="shared" si="6"/>
        <v>03-2023</v>
      </c>
      <c r="D211" t="s">
        <v>783</v>
      </c>
      <c r="E211" t="s">
        <v>787</v>
      </c>
      <c r="F211" t="s">
        <v>801</v>
      </c>
      <c r="G211" t="s">
        <v>1010</v>
      </c>
      <c r="H211">
        <v>992.71</v>
      </c>
      <c r="I211">
        <v>1</v>
      </c>
      <c r="J211">
        <v>0.1</v>
      </c>
      <c r="K211">
        <v>74.61</v>
      </c>
      <c r="L211" t="s">
        <v>1290</v>
      </c>
      <c r="M211" s="6">
        <f t="shared" si="7"/>
        <v>7.5157901099011798E-2</v>
      </c>
      <c r="N211" s="6" t="str" cm="1">
        <f t="array" ref="N211">_xlfn.IFS('Data Cleaning &amp; Transf'!H211&lt;500,"LOW",AND('Data Cleaning &amp; Transf'!H211 &gt;500,'Data Cleaning &amp; Transf'!H211&lt;1000),"Medium",'Data Cleaning &amp; Transf'!H211&gt;1000,"High")</f>
        <v>Medium</v>
      </c>
    </row>
    <row r="212" spans="1:14" x14ac:dyDescent="0.3">
      <c r="A212" t="s">
        <v>221</v>
      </c>
      <c r="B212" s="2" t="s">
        <v>580</v>
      </c>
      <c r="C212" s="9" t="str">
        <f t="shared" si="6"/>
        <v>11-2023</v>
      </c>
      <c r="D212" t="s">
        <v>785</v>
      </c>
      <c r="E212" t="s">
        <v>788</v>
      </c>
      <c r="F212" t="s">
        <v>793</v>
      </c>
      <c r="G212" t="s">
        <v>1011</v>
      </c>
      <c r="H212">
        <v>1642.19</v>
      </c>
      <c r="I212">
        <v>9</v>
      </c>
      <c r="J212">
        <v>0.1</v>
      </c>
      <c r="K212">
        <v>-26.17</v>
      </c>
      <c r="L212" t="s">
        <v>1291</v>
      </c>
      <c r="M212" s="6">
        <f t="shared" si="7"/>
        <v>-1.5936036634007028E-2</v>
      </c>
      <c r="N212" s="6" t="str" cm="1">
        <f t="array" ref="N212">_xlfn.IFS('Data Cleaning &amp; Transf'!H212&lt;500,"LOW",AND('Data Cleaning &amp; Transf'!H212 &gt;500,'Data Cleaning &amp; Transf'!H212&lt;1000),"Medium",'Data Cleaning &amp; Transf'!H212&gt;1000,"High")</f>
        <v>High</v>
      </c>
    </row>
    <row r="213" spans="1:14" x14ac:dyDescent="0.3">
      <c r="A213" t="s">
        <v>222</v>
      </c>
      <c r="B213" s="2" t="s">
        <v>531</v>
      </c>
      <c r="C213" s="9" t="str">
        <f t="shared" si="6"/>
        <v>10-2023</v>
      </c>
      <c r="D213" t="s">
        <v>786</v>
      </c>
      <c r="E213" t="s">
        <v>789</v>
      </c>
      <c r="F213" t="s">
        <v>798</v>
      </c>
      <c r="G213" t="s">
        <v>1012</v>
      </c>
      <c r="H213">
        <v>1168.58</v>
      </c>
      <c r="I213">
        <v>5</v>
      </c>
      <c r="J213">
        <v>0</v>
      </c>
      <c r="K213">
        <v>203.03</v>
      </c>
      <c r="L213" t="s">
        <v>1291</v>
      </c>
      <c r="M213" s="6">
        <f t="shared" si="7"/>
        <v>0.17374077940748603</v>
      </c>
      <c r="N213" s="6" t="str" cm="1">
        <f t="array" ref="N213">_xlfn.IFS('Data Cleaning &amp; Transf'!H213&lt;500,"LOW",AND('Data Cleaning &amp; Transf'!H213 &gt;500,'Data Cleaning &amp; Transf'!H213&lt;1000),"Medium",'Data Cleaning &amp; Transf'!H213&gt;1000,"High")</f>
        <v>High</v>
      </c>
    </row>
    <row r="214" spans="1:14" x14ac:dyDescent="0.3">
      <c r="A214" t="s">
        <v>223</v>
      </c>
      <c r="B214" s="2" t="s">
        <v>673</v>
      </c>
      <c r="C214" s="9" t="str">
        <f t="shared" si="6"/>
        <v>03-2023</v>
      </c>
      <c r="D214" t="s">
        <v>786</v>
      </c>
      <c r="E214" t="s">
        <v>787</v>
      </c>
      <c r="F214" t="s">
        <v>801</v>
      </c>
      <c r="G214" t="s">
        <v>1013</v>
      </c>
      <c r="H214">
        <v>313.95</v>
      </c>
      <c r="I214">
        <v>6</v>
      </c>
      <c r="J214">
        <v>0.15</v>
      </c>
      <c r="K214">
        <v>22.15</v>
      </c>
      <c r="L214" t="s">
        <v>1290</v>
      </c>
      <c r="M214" s="6">
        <f t="shared" si="7"/>
        <v>7.0552635770027072E-2</v>
      </c>
      <c r="N214" s="6" t="str" cm="1">
        <f t="array" ref="N214">_xlfn.IFS('Data Cleaning &amp; Transf'!H214&lt;500,"LOW",AND('Data Cleaning &amp; Transf'!H214 &gt;500,'Data Cleaning &amp; Transf'!H214&lt;1000),"Medium",'Data Cleaning &amp; Transf'!H214&gt;1000,"High")</f>
        <v>LOW</v>
      </c>
    </row>
    <row r="215" spans="1:14" x14ac:dyDescent="0.3">
      <c r="A215" t="s">
        <v>224</v>
      </c>
      <c r="B215" s="2" t="s">
        <v>674</v>
      </c>
      <c r="C215" s="9" t="str">
        <f t="shared" si="6"/>
        <v>04-2023</v>
      </c>
      <c r="D215" t="s">
        <v>786</v>
      </c>
      <c r="E215" t="s">
        <v>788</v>
      </c>
      <c r="F215" t="s">
        <v>795</v>
      </c>
      <c r="G215" t="s">
        <v>1014</v>
      </c>
      <c r="H215">
        <v>1099.77</v>
      </c>
      <c r="I215">
        <v>8</v>
      </c>
      <c r="J215">
        <v>0</v>
      </c>
      <c r="K215">
        <v>317.08</v>
      </c>
      <c r="L215" t="s">
        <v>1289</v>
      </c>
      <c r="M215" s="6">
        <f t="shared" si="7"/>
        <v>0.28831482946434256</v>
      </c>
      <c r="N215" s="6" t="str" cm="1">
        <f t="array" ref="N215">_xlfn.IFS('Data Cleaning &amp; Transf'!H215&lt;500,"LOW",AND('Data Cleaning &amp; Transf'!H215 &gt;500,'Data Cleaning &amp; Transf'!H215&lt;1000),"Medium",'Data Cleaning &amp; Transf'!H215&gt;1000,"High")</f>
        <v>High</v>
      </c>
    </row>
    <row r="216" spans="1:14" x14ac:dyDescent="0.3">
      <c r="A216" t="s">
        <v>225</v>
      </c>
      <c r="B216" s="2" t="s">
        <v>675</v>
      </c>
      <c r="C216" s="9" t="str">
        <f t="shared" si="6"/>
        <v>11-2023</v>
      </c>
      <c r="D216" t="s">
        <v>786</v>
      </c>
      <c r="E216" t="s">
        <v>788</v>
      </c>
      <c r="F216" t="s">
        <v>793</v>
      </c>
      <c r="G216" t="s">
        <v>1015</v>
      </c>
      <c r="H216">
        <v>1510.47</v>
      </c>
      <c r="I216">
        <v>9</v>
      </c>
      <c r="J216">
        <v>0.15</v>
      </c>
      <c r="K216">
        <v>3.67</v>
      </c>
      <c r="L216" t="s">
        <v>1290</v>
      </c>
      <c r="M216" s="6">
        <f t="shared" si="7"/>
        <v>2.4297073096453421E-3</v>
      </c>
      <c r="N216" s="6" t="str" cm="1">
        <f t="array" ref="N216">_xlfn.IFS('Data Cleaning &amp; Transf'!H216&lt;500,"LOW",AND('Data Cleaning &amp; Transf'!H216 &gt;500,'Data Cleaning &amp; Transf'!H216&lt;1000),"Medium",'Data Cleaning &amp; Transf'!H216&gt;1000,"High")</f>
        <v>High</v>
      </c>
    </row>
    <row r="217" spans="1:14" x14ac:dyDescent="0.3">
      <c r="A217" t="s">
        <v>226</v>
      </c>
      <c r="B217" s="2" t="s">
        <v>592</v>
      </c>
      <c r="C217" s="9" t="str">
        <f t="shared" si="6"/>
        <v>07-2023</v>
      </c>
      <c r="D217" t="s">
        <v>784</v>
      </c>
      <c r="E217" t="s">
        <v>789</v>
      </c>
      <c r="F217" t="s">
        <v>799</v>
      </c>
      <c r="G217" t="s">
        <v>1016</v>
      </c>
      <c r="H217">
        <v>1064.8</v>
      </c>
      <c r="I217">
        <v>3</v>
      </c>
      <c r="J217">
        <v>0.05</v>
      </c>
      <c r="K217">
        <v>225.95</v>
      </c>
      <c r="L217" t="s">
        <v>1291</v>
      </c>
      <c r="M217" s="6">
        <f t="shared" si="7"/>
        <v>0.21219947407963938</v>
      </c>
      <c r="N217" s="6" t="str" cm="1">
        <f t="array" ref="N217">_xlfn.IFS('Data Cleaning &amp; Transf'!H217&lt;500,"LOW",AND('Data Cleaning &amp; Transf'!H217 &gt;500,'Data Cleaning &amp; Transf'!H217&lt;1000),"Medium",'Data Cleaning &amp; Transf'!H217&gt;1000,"High")</f>
        <v>High</v>
      </c>
    </row>
    <row r="218" spans="1:14" x14ac:dyDescent="0.3">
      <c r="A218" t="s">
        <v>227</v>
      </c>
      <c r="B218" s="2" t="s">
        <v>608</v>
      </c>
      <c r="C218" s="9" t="str">
        <f t="shared" si="6"/>
        <v>06-2023</v>
      </c>
      <c r="D218" t="s">
        <v>786</v>
      </c>
      <c r="E218" t="s">
        <v>787</v>
      </c>
      <c r="F218" t="s">
        <v>790</v>
      </c>
      <c r="G218" t="s">
        <v>1017</v>
      </c>
      <c r="H218">
        <v>316.88</v>
      </c>
      <c r="I218">
        <v>7</v>
      </c>
      <c r="J218">
        <v>0.15</v>
      </c>
      <c r="K218">
        <v>-8.0399999999999991</v>
      </c>
      <c r="L218" t="s">
        <v>1289</v>
      </c>
      <c r="M218" s="6">
        <f t="shared" si="7"/>
        <v>-2.5372380711941426E-2</v>
      </c>
      <c r="N218" s="6" t="str" cm="1">
        <f t="array" ref="N218">_xlfn.IFS('Data Cleaning &amp; Transf'!H218&lt;500,"LOW",AND('Data Cleaning &amp; Transf'!H218 &gt;500,'Data Cleaning &amp; Transf'!H218&lt;1000),"Medium",'Data Cleaning &amp; Transf'!H218&gt;1000,"High")</f>
        <v>LOW</v>
      </c>
    </row>
    <row r="219" spans="1:14" x14ac:dyDescent="0.3">
      <c r="A219" t="s">
        <v>228</v>
      </c>
      <c r="B219" s="2" t="s">
        <v>520</v>
      </c>
      <c r="C219" s="9" t="str">
        <f t="shared" si="6"/>
        <v>08-2023</v>
      </c>
      <c r="D219" t="s">
        <v>783</v>
      </c>
      <c r="E219" t="s">
        <v>787</v>
      </c>
      <c r="F219" t="s">
        <v>801</v>
      </c>
      <c r="G219" t="s">
        <v>1018</v>
      </c>
      <c r="H219">
        <v>1799.75</v>
      </c>
      <c r="I219">
        <v>1</v>
      </c>
      <c r="J219">
        <v>0.05</v>
      </c>
      <c r="K219">
        <v>254.89</v>
      </c>
      <c r="L219" t="s">
        <v>1291</v>
      </c>
      <c r="M219" s="6">
        <f t="shared" si="7"/>
        <v>0.14162522572579525</v>
      </c>
      <c r="N219" s="6" t="str" cm="1">
        <f t="array" ref="N219">_xlfn.IFS('Data Cleaning &amp; Transf'!H219&lt;500,"LOW",AND('Data Cleaning &amp; Transf'!H219 &gt;500,'Data Cleaning &amp; Transf'!H219&lt;1000),"Medium",'Data Cleaning &amp; Transf'!H219&gt;1000,"High")</f>
        <v>High</v>
      </c>
    </row>
    <row r="220" spans="1:14" x14ac:dyDescent="0.3">
      <c r="A220" t="s">
        <v>229</v>
      </c>
      <c r="B220" s="2" t="s">
        <v>636</v>
      </c>
      <c r="C220" s="9" t="str">
        <f t="shared" si="6"/>
        <v>07-2023</v>
      </c>
      <c r="D220" t="s">
        <v>784</v>
      </c>
      <c r="E220" t="s">
        <v>788</v>
      </c>
      <c r="F220" t="s">
        <v>795</v>
      </c>
      <c r="G220" t="s">
        <v>1019</v>
      </c>
      <c r="H220">
        <v>690.28</v>
      </c>
      <c r="I220">
        <v>1</v>
      </c>
      <c r="J220">
        <v>0.15</v>
      </c>
      <c r="K220">
        <v>97.57</v>
      </c>
      <c r="L220" t="s">
        <v>1291</v>
      </c>
      <c r="M220" s="6">
        <f t="shared" si="7"/>
        <v>0.14134843831488672</v>
      </c>
      <c r="N220" s="6" t="str" cm="1">
        <f t="array" ref="N220">_xlfn.IFS('Data Cleaning &amp; Transf'!H220&lt;500,"LOW",AND('Data Cleaning &amp; Transf'!H220 &gt;500,'Data Cleaning &amp; Transf'!H220&lt;1000),"Medium",'Data Cleaning &amp; Transf'!H220&gt;1000,"High")</f>
        <v>Medium</v>
      </c>
    </row>
    <row r="221" spans="1:14" x14ac:dyDescent="0.3">
      <c r="A221" t="s">
        <v>230</v>
      </c>
      <c r="B221" s="2" t="s">
        <v>640</v>
      </c>
      <c r="C221" s="9" t="str">
        <f t="shared" si="6"/>
        <v>02-2023</v>
      </c>
      <c r="D221" t="s">
        <v>786</v>
      </c>
      <c r="E221" t="s">
        <v>789</v>
      </c>
      <c r="F221" t="s">
        <v>794</v>
      </c>
      <c r="G221" t="s">
        <v>1020</v>
      </c>
      <c r="H221">
        <v>1384.39</v>
      </c>
      <c r="I221">
        <v>4</v>
      </c>
      <c r="J221">
        <v>0.1</v>
      </c>
      <c r="K221">
        <v>52.21</v>
      </c>
      <c r="L221" t="s">
        <v>1291</v>
      </c>
      <c r="M221" s="6">
        <f t="shared" si="7"/>
        <v>3.7713361119337756E-2</v>
      </c>
      <c r="N221" s="6" t="str" cm="1">
        <f t="array" ref="N221">_xlfn.IFS('Data Cleaning &amp; Transf'!H221&lt;500,"LOW",AND('Data Cleaning &amp; Transf'!H221 &gt;500,'Data Cleaning &amp; Transf'!H221&lt;1000),"Medium",'Data Cleaning &amp; Transf'!H221&gt;1000,"High")</f>
        <v>High</v>
      </c>
    </row>
    <row r="222" spans="1:14" x14ac:dyDescent="0.3">
      <c r="A222" t="s">
        <v>231</v>
      </c>
      <c r="B222" s="2" t="s">
        <v>663</v>
      </c>
      <c r="C222" s="9" t="str">
        <f t="shared" si="6"/>
        <v>07-2023</v>
      </c>
      <c r="D222" t="s">
        <v>785</v>
      </c>
      <c r="E222" t="s">
        <v>788</v>
      </c>
      <c r="F222" t="s">
        <v>795</v>
      </c>
      <c r="G222" t="s">
        <v>1021</v>
      </c>
      <c r="H222">
        <v>249.63</v>
      </c>
      <c r="I222">
        <v>7</v>
      </c>
      <c r="J222">
        <v>0.2</v>
      </c>
      <c r="K222">
        <v>-18.79</v>
      </c>
      <c r="L222" t="s">
        <v>1290</v>
      </c>
      <c r="M222" s="6">
        <f t="shared" si="7"/>
        <v>-7.5271401674478225E-2</v>
      </c>
      <c r="N222" s="6" t="str" cm="1">
        <f t="array" ref="N222">_xlfn.IFS('Data Cleaning &amp; Transf'!H222&lt;500,"LOW",AND('Data Cleaning &amp; Transf'!H222 &gt;500,'Data Cleaning &amp; Transf'!H222&lt;1000),"Medium",'Data Cleaning &amp; Transf'!H222&gt;1000,"High")</f>
        <v>LOW</v>
      </c>
    </row>
    <row r="223" spans="1:14" x14ac:dyDescent="0.3">
      <c r="A223" t="s">
        <v>232</v>
      </c>
      <c r="B223" s="2" t="s">
        <v>646</v>
      </c>
      <c r="C223" s="9" t="str">
        <f t="shared" si="6"/>
        <v>10-2023</v>
      </c>
      <c r="D223" t="s">
        <v>785</v>
      </c>
      <c r="E223" t="s">
        <v>787</v>
      </c>
      <c r="F223" t="s">
        <v>800</v>
      </c>
      <c r="G223" t="s">
        <v>1022</v>
      </c>
      <c r="H223">
        <v>1524.96</v>
      </c>
      <c r="I223">
        <v>8</v>
      </c>
      <c r="J223">
        <v>0.2</v>
      </c>
      <c r="K223">
        <v>-137.19</v>
      </c>
      <c r="L223" t="s">
        <v>1289</v>
      </c>
      <c r="M223" s="6">
        <f t="shared" si="7"/>
        <v>-8.9963015423355358E-2</v>
      </c>
      <c r="N223" s="6" t="str" cm="1">
        <f t="array" ref="N223">_xlfn.IFS('Data Cleaning &amp; Transf'!H223&lt;500,"LOW",AND('Data Cleaning &amp; Transf'!H223 &gt;500,'Data Cleaning &amp; Transf'!H223&lt;1000),"Medium",'Data Cleaning &amp; Transf'!H223&gt;1000,"High")</f>
        <v>High</v>
      </c>
    </row>
    <row r="224" spans="1:14" x14ac:dyDescent="0.3">
      <c r="A224" t="s">
        <v>233</v>
      </c>
      <c r="B224" s="2" t="s">
        <v>676</v>
      </c>
      <c r="C224" s="9" t="str">
        <f t="shared" si="6"/>
        <v>04-2023</v>
      </c>
      <c r="D224" t="s">
        <v>784</v>
      </c>
      <c r="E224" t="s">
        <v>789</v>
      </c>
      <c r="F224" t="s">
        <v>794</v>
      </c>
      <c r="G224" t="s">
        <v>1023</v>
      </c>
      <c r="H224">
        <v>1447.92</v>
      </c>
      <c r="I224">
        <v>1</v>
      </c>
      <c r="J224">
        <v>0.2</v>
      </c>
      <c r="K224">
        <v>-31.15</v>
      </c>
      <c r="L224" t="s">
        <v>1290</v>
      </c>
      <c r="M224" s="6">
        <f t="shared" si="7"/>
        <v>-2.1513619536990991E-2</v>
      </c>
      <c r="N224" s="6" t="str" cm="1">
        <f t="array" ref="N224">_xlfn.IFS('Data Cleaning &amp; Transf'!H224&lt;500,"LOW",AND('Data Cleaning &amp; Transf'!H224 &gt;500,'Data Cleaning &amp; Transf'!H224&lt;1000),"Medium",'Data Cleaning &amp; Transf'!H224&gt;1000,"High")</f>
        <v>High</v>
      </c>
    </row>
    <row r="225" spans="1:14" x14ac:dyDescent="0.3">
      <c r="A225" t="s">
        <v>234</v>
      </c>
      <c r="B225" s="2" t="s">
        <v>677</v>
      </c>
      <c r="C225" s="9" t="str">
        <f t="shared" si="6"/>
        <v>03-2023</v>
      </c>
      <c r="D225" t="s">
        <v>783</v>
      </c>
      <c r="E225" t="s">
        <v>787</v>
      </c>
      <c r="F225" t="s">
        <v>801</v>
      </c>
      <c r="G225" t="s">
        <v>1024</v>
      </c>
      <c r="H225">
        <v>1095.6500000000001</v>
      </c>
      <c r="I225">
        <v>2</v>
      </c>
      <c r="J225">
        <v>0</v>
      </c>
      <c r="K225">
        <v>270.57</v>
      </c>
      <c r="L225" t="s">
        <v>1289</v>
      </c>
      <c r="M225" s="6">
        <f t="shared" si="7"/>
        <v>0.24694929950257835</v>
      </c>
      <c r="N225" s="6" t="str" cm="1">
        <f t="array" ref="N225">_xlfn.IFS('Data Cleaning &amp; Transf'!H225&lt;500,"LOW",AND('Data Cleaning &amp; Transf'!H225 &gt;500,'Data Cleaning &amp; Transf'!H225&lt;1000),"Medium",'Data Cleaning &amp; Transf'!H225&gt;1000,"High")</f>
        <v>High</v>
      </c>
    </row>
    <row r="226" spans="1:14" x14ac:dyDescent="0.3">
      <c r="A226" t="s">
        <v>235</v>
      </c>
      <c r="B226" s="2" t="s">
        <v>678</v>
      </c>
      <c r="C226" s="9" t="str">
        <f t="shared" si="6"/>
        <v>04-2023</v>
      </c>
      <c r="D226" t="s">
        <v>784</v>
      </c>
      <c r="E226" t="s">
        <v>789</v>
      </c>
      <c r="F226" t="s">
        <v>798</v>
      </c>
      <c r="G226" t="s">
        <v>1025</v>
      </c>
      <c r="H226">
        <v>474.78</v>
      </c>
      <c r="I226">
        <v>9</v>
      </c>
      <c r="J226">
        <v>0.15</v>
      </c>
      <c r="K226">
        <v>-1.43</v>
      </c>
      <c r="L226" t="s">
        <v>1291</v>
      </c>
      <c r="M226" s="6">
        <f t="shared" si="7"/>
        <v>-3.0119213109229539E-3</v>
      </c>
      <c r="N226" s="6" t="str" cm="1">
        <f t="array" ref="N226">_xlfn.IFS('Data Cleaning &amp; Transf'!H226&lt;500,"LOW",AND('Data Cleaning &amp; Transf'!H226 &gt;500,'Data Cleaning &amp; Transf'!H226&lt;1000),"Medium",'Data Cleaning &amp; Transf'!H226&gt;1000,"High")</f>
        <v>LOW</v>
      </c>
    </row>
    <row r="227" spans="1:14" x14ac:dyDescent="0.3">
      <c r="A227" t="s">
        <v>236</v>
      </c>
      <c r="B227" s="2" t="s">
        <v>679</v>
      </c>
      <c r="C227" s="9" t="str">
        <f t="shared" si="6"/>
        <v>03-2023</v>
      </c>
      <c r="D227" t="s">
        <v>786</v>
      </c>
      <c r="E227" t="s">
        <v>788</v>
      </c>
      <c r="F227" t="s">
        <v>791</v>
      </c>
      <c r="G227" t="s">
        <v>1026</v>
      </c>
      <c r="H227">
        <v>1063.02</v>
      </c>
      <c r="I227">
        <v>2</v>
      </c>
      <c r="J227">
        <v>0.1</v>
      </c>
      <c r="K227">
        <v>196.42</v>
      </c>
      <c r="L227" t="s">
        <v>1289</v>
      </c>
      <c r="M227" s="6">
        <f t="shared" si="7"/>
        <v>0.18477545107335702</v>
      </c>
      <c r="N227" s="6" t="str" cm="1">
        <f t="array" ref="N227">_xlfn.IFS('Data Cleaning &amp; Transf'!H227&lt;500,"LOW",AND('Data Cleaning &amp; Transf'!H227 &gt;500,'Data Cleaning &amp; Transf'!H227&lt;1000),"Medium",'Data Cleaning &amp; Transf'!H227&gt;1000,"High")</f>
        <v>High</v>
      </c>
    </row>
    <row r="228" spans="1:14" x14ac:dyDescent="0.3">
      <c r="A228" t="s">
        <v>237</v>
      </c>
      <c r="B228" s="2" t="s">
        <v>680</v>
      </c>
      <c r="C228" s="9" t="str">
        <f t="shared" si="6"/>
        <v>01-2023</v>
      </c>
      <c r="D228" t="s">
        <v>783</v>
      </c>
      <c r="E228" t="s">
        <v>788</v>
      </c>
      <c r="F228" t="s">
        <v>791</v>
      </c>
      <c r="G228" t="s">
        <v>1027</v>
      </c>
      <c r="H228">
        <v>843.05</v>
      </c>
      <c r="I228">
        <v>3</v>
      </c>
      <c r="J228">
        <v>0.2</v>
      </c>
      <c r="K228">
        <v>-68.150000000000006</v>
      </c>
      <c r="L228" t="s">
        <v>1290</v>
      </c>
      <c r="M228" s="6">
        <f t="shared" si="7"/>
        <v>-8.0837435502046154E-2</v>
      </c>
      <c r="N228" s="6" t="str" cm="1">
        <f t="array" ref="N228">_xlfn.IFS('Data Cleaning &amp; Transf'!H228&lt;500,"LOW",AND('Data Cleaning &amp; Transf'!H228 &gt;500,'Data Cleaning &amp; Transf'!H228&lt;1000),"Medium",'Data Cleaning &amp; Transf'!H228&gt;1000,"High")</f>
        <v>Medium</v>
      </c>
    </row>
    <row r="229" spans="1:14" x14ac:dyDescent="0.3">
      <c r="A229" t="s">
        <v>238</v>
      </c>
      <c r="B229" s="2" t="s">
        <v>513</v>
      </c>
      <c r="C229" s="9" t="str">
        <f t="shared" si="6"/>
        <v>01-2023</v>
      </c>
      <c r="D229" t="s">
        <v>784</v>
      </c>
      <c r="E229" t="s">
        <v>787</v>
      </c>
      <c r="F229" t="s">
        <v>800</v>
      </c>
      <c r="G229" t="s">
        <v>1028</v>
      </c>
      <c r="H229">
        <v>1214.71</v>
      </c>
      <c r="I229">
        <v>2</v>
      </c>
      <c r="J229">
        <v>0.05</v>
      </c>
      <c r="K229">
        <v>86.28</v>
      </c>
      <c r="L229" t="s">
        <v>1289</v>
      </c>
      <c r="M229" s="6">
        <f t="shared" si="7"/>
        <v>7.1029299174288518E-2</v>
      </c>
      <c r="N229" s="6" t="str" cm="1">
        <f t="array" ref="N229">_xlfn.IFS('Data Cleaning &amp; Transf'!H229&lt;500,"LOW",AND('Data Cleaning &amp; Transf'!H229 &gt;500,'Data Cleaning &amp; Transf'!H229&lt;1000),"Medium",'Data Cleaning &amp; Transf'!H229&gt;1000,"High")</f>
        <v>High</v>
      </c>
    </row>
    <row r="230" spans="1:14" x14ac:dyDescent="0.3">
      <c r="A230" t="s">
        <v>239</v>
      </c>
      <c r="B230" s="2" t="s">
        <v>681</v>
      </c>
      <c r="C230" s="9" t="str">
        <f t="shared" si="6"/>
        <v>04-2023</v>
      </c>
      <c r="D230" t="s">
        <v>784</v>
      </c>
      <c r="E230" t="s">
        <v>789</v>
      </c>
      <c r="F230" t="s">
        <v>798</v>
      </c>
      <c r="G230" t="s">
        <v>1029</v>
      </c>
      <c r="H230">
        <v>1243.8</v>
      </c>
      <c r="I230">
        <v>2</v>
      </c>
      <c r="J230">
        <v>0.2</v>
      </c>
      <c r="K230">
        <v>-73.239999999999995</v>
      </c>
      <c r="L230" t="s">
        <v>1290</v>
      </c>
      <c r="M230" s="6">
        <f t="shared" si="7"/>
        <v>-5.8884064962212573E-2</v>
      </c>
      <c r="N230" s="6" t="str" cm="1">
        <f t="array" ref="N230">_xlfn.IFS('Data Cleaning &amp; Transf'!H230&lt;500,"LOW",AND('Data Cleaning &amp; Transf'!H230 &gt;500,'Data Cleaning &amp; Transf'!H230&lt;1000),"Medium",'Data Cleaning &amp; Transf'!H230&gt;1000,"High")</f>
        <v>High</v>
      </c>
    </row>
    <row r="231" spans="1:14" x14ac:dyDescent="0.3">
      <c r="A231" t="s">
        <v>240</v>
      </c>
      <c r="B231" s="2" t="s">
        <v>629</v>
      </c>
      <c r="C231" s="9" t="str">
        <f t="shared" si="6"/>
        <v>10-2023</v>
      </c>
      <c r="D231" t="s">
        <v>783</v>
      </c>
      <c r="E231" t="s">
        <v>789</v>
      </c>
      <c r="F231" t="s">
        <v>799</v>
      </c>
      <c r="G231" t="s">
        <v>1030</v>
      </c>
      <c r="H231">
        <v>985.21</v>
      </c>
      <c r="I231">
        <v>8</v>
      </c>
      <c r="J231">
        <v>0.2</v>
      </c>
      <c r="K231">
        <v>-19.27</v>
      </c>
      <c r="L231" t="s">
        <v>1289</v>
      </c>
      <c r="M231" s="6">
        <f t="shared" si="7"/>
        <v>-1.9559281777489061E-2</v>
      </c>
      <c r="N231" s="6" t="str" cm="1">
        <f t="array" ref="N231">_xlfn.IFS('Data Cleaning &amp; Transf'!H231&lt;500,"LOW",AND('Data Cleaning &amp; Transf'!H231 &gt;500,'Data Cleaning &amp; Transf'!H231&lt;1000),"Medium",'Data Cleaning &amp; Transf'!H231&gt;1000,"High")</f>
        <v>Medium</v>
      </c>
    </row>
    <row r="232" spans="1:14" x14ac:dyDescent="0.3">
      <c r="A232" t="s">
        <v>241</v>
      </c>
      <c r="B232" s="2" t="s">
        <v>550</v>
      </c>
      <c r="C232" s="9" t="str">
        <f t="shared" si="6"/>
        <v>12-2023</v>
      </c>
      <c r="D232" t="s">
        <v>783</v>
      </c>
      <c r="E232" t="s">
        <v>789</v>
      </c>
      <c r="F232" t="s">
        <v>799</v>
      </c>
      <c r="G232" t="s">
        <v>1031</v>
      </c>
      <c r="H232">
        <v>1278.6500000000001</v>
      </c>
      <c r="I232">
        <v>2</v>
      </c>
      <c r="J232">
        <v>0.1</v>
      </c>
      <c r="K232">
        <v>39.99</v>
      </c>
      <c r="L232" t="s">
        <v>1291</v>
      </c>
      <c r="M232" s="6">
        <f t="shared" si="7"/>
        <v>3.1275173034059356E-2</v>
      </c>
      <c r="N232" s="6" t="str" cm="1">
        <f t="array" ref="N232">_xlfn.IFS('Data Cleaning &amp; Transf'!H232&lt;500,"LOW",AND('Data Cleaning &amp; Transf'!H232 &gt;500,'Data Cleaning &amp; Transf'!H232&lt;1000),"Medium",'Data Cleaning &amp; Transf'!H232&gt;1000,"High")</f>
        <v>High</v>
      </c>
    </row>
    <row r="233" spans="1:14" x14ac:dyDescent="0.3">
      <c r="A233" t="s">
        <v>242</v>
      </c>
      <c r="B233" s="2" t="s">
        <v>682</v>
      </c>
      <c r="C233" s="9" t="str">
        <f t="shared" si="6"/>
        <v>06-2023</v>
      </c>
      <c r="D233" t="s">
        <v>784</v>
      </c>
      <c r="E233" t="s">
        <v>789</v>
      </c>
      <c r="F233" t="s">
        <v>794</v>
      </c>
      <c r="G233" t="s">
        <v>1032</v>
      </c>
      <c r="H233">
        <v>100.57</v>
      </c>
      <c r="I233">
        <v>8</v>
      </c>
      <c r="J233">
        <v>0</v>
      </c>
      <c r="K233">
        <v>8.14</v>
      </c>
      <c r="L233" t="s">
        <v>1289</v>
      </c>
      <c r="M233" s="6">
        <f t="shared" si="7"/>
        <v>8.0938649696728662E-2</v>
      </c>
      <c r="N233" s="6" t="str" cm="1">
        <f t="array" ref="N233">_xlfn.IFS('Data Cleaning &amp; Transf'!H233&lt;500,"LOW",AND('Data Cleaning &amp; Transf'!H233 &gt;500,'Data Cleaning &amp; Transf'!H233&lt;1000),"Medium",'Data Cleaning &amp; Transf'!H233&gt;1000,"High")</f>
        <v>LOW</v>
      </c>
    </row>
    <row r="234" spans="1:14" x14ac:dyDescent="0.3">
      <c r="A234" t="s">
        <v>243</v>
      </c>
      <c r="B234" s="2" t="s">
        <v>546</v>
      </c>
      <c r="C234" s="9" t="str">
        <f t="shared" si="6"/>
        <v>08-2023</v>
      </c>
      <c r="D234" t="s">
        <v>786</v>
      </c>
      <c r="E234" t="s">
        <v>789</v>
      </c>
      <c r="F234" t="s">
        <v>799</v>
      </c>
      <c r="G234" t="s">
        <v>1033</v>
      </c>
      <c r="H234">
        <v>1870.46</v>
      </c>
      <c r="I234">
        <v>4</v>
      </c>
      <c r="J234">
        <v>0</v>
      </c>
      <c r="K234">
        <v>545.75</v>
      </c>
      <c r="L234" t="s">
        <v>1289</v>
      </c>
      <c r="M234" s="6">
        <f t="shared" si="7"/>
        <v>0.29177314671257337</v>
      </c>
      <c r="N234" s="6" t="str" cm="1">
        <f t="array" ref="N234">_xlfn.IFS('Data Cleaning &amp; Transf'!H234&lt;500,"LOW",AND('Data Cleaning &amp; Transf'!H234 &gt;500,'Data Cleaning &amp; Transf'!H234&lt;1000),"Medium",'Data Cleaning &amp; Transf'!H234&gt;1000,"High")</f>
        <v>High</v>
      </c>
    </row>
    <row r="235" spans="1:14" x14ac:dyDescent="0.3">
      <c r="A235" t="s">
        <v>244</v>
      </c>
      <c r="B235" s="2" t="s">
        <v>683</v>
      </c>
      <c r="C235" s="9" t="str">
        <f t="shared" si="6"/>
        <v>04-2023</v>
      </c>
      <c r="D235" t="s">
        <v>786</v>
      </c>
      <c r="E235" t="s">
        <v>788</v>
      </c>
      <c r="F235" t="s">
        <v>793</v>
      </c>
      <c r="G235" t="s">
        <v>1034</v>
      </c>
      <c r="H235">
        <v>1090.92</v>
      </c>
      <c r="I235">
        <v>2</v>
      </c>
      <c r="J235">
        <v>0.1</v>
      </c>
      <c r="K235">
        <v>8.85</v>
      </c>
      <c r="L235" t="s">
        <v>1289</v>
      </c>
      <c r="M235" s="6">
        <f t="shared" si="7"/>
        <v>8.112418875811241E-3</v>
      </c>
      <c r="N235" s="6" t="str" cm="1">
        <f t="array" ref="N235">_xlfn.IFS('Data Cleaning &amp; Transf'!H235&lt;500,"LOW",AND('Data Cleaning &amp; Transf'!H235 &gt;500,'Data Cleaning &amp; Transf'!H235&lt;1000),"Medium",'Data Cleaning &amp; Transf'!H235&gt;1000,"High")</f>
        <v>High</v>
      </c>
    </row>
    <row r="236" spans="1:14" x14ac:dyDescent="0.3">
      <c r="A236" t="s">
        <v>245</v>
      </c>
      <c r="B236" s="2" t="s">
        <v>684</v>
      </c>
      <c r="C236" s="9" t="str">
        <f t="shared" si="6"/>
        <v>08-2023</v>
      </c>
      <c r="D236" t="s">
        <v>783</v>
      </c>
      <c r="E236" t="s">
        <v>788</v>
      </c>
      <c r="F236" t="s">
        <v>791</v>
      </c>
      <c r="G236" t="s">
        <v>1035</v>
      </c>
      <c r="H236">
        <v>584.05999999999995</v>
      </c>
      <c r="I236">
        <v>7</v>
      </c>
      <c r="J236">
        <v>0</v>
      </c>
      <c r="K236">
        <v>67.739999999999995</v>
      </c>
      <c r="L236" t="s">
        <v>1290</v>
      </c>
      <c r="M236" s="6">
        <f t="shared" si="7"/>
        <v>0.11598123480464335</v>
      </c>
      <c r="N236" s="6" t="str" cm="1">
        <f t="array" ref="N236">_xlfn.IFS('Data Cleaning &amp; Transf'!H236&lt;500,"LOW",AND('Data Cleaning &amp; Transf'!H236 &gt;500,'Data Cleaning &amp; Transf'!H236&lt;1000),"Medium",'Data Cleaning &amp; Transf'!H236&gt;1000,"High")</f>
        <v>Medium</v>
      </c>
    </row>
    <row r="237" spans="1:14" x14ac:dyDescent="0.3">
      <c r="A237" t="s">
        <v>246</v>
      </c>
      <c r="B237" s="2" t="s">
        <v>652</v>
      </c>
      <c r="C237" s="9" t="str">
        <f t="shared" si="6"/>
        <v>10-2023</v>
      </c>
      <c r="D237" t="s">
        <v>785</v>
      </c>
      <c r="E237" t="s">
        <v>788</v>
      </c>
      <c r="F237" t="s">
        <v>795</v>
      </c>
      <c r="G237" t="s">
        <v>1036</v>
      </c>
      <c r="H237">
        <v>1579.72</v>
      </c>
      <c r="I237">
        <v>1</v>
      </c>
      <c r="J237">
        <v>0.15</v>
      </c>
      <c r="K237">
        <v>-46.82</v>
      </c>
      <c r="L237" t="s">
        <v>1290</v>
      </c>
      <c r="M237" s="6">
        <f t="shared" si="7"/>
        <v>-2.9638163725217128E-2</v>
      </c>
      <c r="N237" s="6" t="str" cm="1">
        <f t="array" ref="N237">_xlfn.IFS('Data Cleaning &amp; Transf'!H237&lt;500,"LOW",AND('Data Cleaning &amp; Transf'!H237 &gt;500,'Data Cleaning &amp; Transf'!H237&lt;1000),"Medium",'Data Cleaning &amp; Transf'!H237&gt;1000,"High")</f>
        <v>High</v>
      </c>
    </row>
    <row r="238" spans="1:14" x14ac:dyDescent="0.3">
      <c r="A238" t="s">
        <v>247</v>
      </c>
      <c r="B238" s="2" t="s">
        <v>573</v>
      </c>
      <c r="C238" s="9" t="str">
        <f t="shared" si="6"/>
        <v>10-2023</v>
      </c>
      <c r="D238" t="s">
        <v>785</v>
      </c>
      <c r="E238" t="s">
        <v>789</v>
      </c>
      <c r="F238" t="s">
        <v>798</v>
      </c>
      <c r="G238" t="s">
        <v>1037</v>
      </c>
      <c r="H238">
        <v>1680.04</v>
      </c>
      <c r="I238">
        <v>2</v>
      </c>
      <c r="J238">
        <v>0.1</v>
      </c>
      <c r="K238">
        <v>-15.26</v>
      </c>
      <c r="L238" t="s">
        <v>1290</v>
      </c>
      <c r="M238" s="6">
        <f t="shared" si="7"/>
        <v>-9.0831170686412228E-3</v>
      </c>
      <c r="N238" s="6" t="str" cm="1">
        <f t="array" ref="N238">_xlfn.IFS('Data Cleaning &amp; Transf'!H238&lt;500,"LOW",AND('Data Cleaning &amp; Transf'!H238 &gt;500,'Data Cleaning &amp; Transf'!H238&lt;1000),"Medium",'Data Cleaning &amp; Transf'!H238&gt;1000,"High")</f>
        <v>High</v>
      </c>
    </row>
    <row r="239" spans="1:14" x14ac:dyDescent="0.3">
      <c r="A239" t="s">
        <v>248</v>
      </c>
      <c r="B239" s="2" t="s">
        <v>618</v>
      </c>
      <c r="C239" s="9" t="str">
        <f t="shared" si="6"/>
        <v>12-2023</v>
      </c>
      <c r="D239" t="s">
        <v>783</v>
      </c>
      <c r="E239" t="s">
        <v>787</v>
      </c>
      <c r="F239" t="s">
        <v>790</v>
      </c>
      <c r="G239" t="s">
        <v>1038</v>
      </c>
      <c r="H239">
        <v>342.78</v>
      </c>
      <c r="I239">
        <v>4</v>
      </c>
      <c r="J239">
        <v>0</v>
      </c>
      <c r="K239">
        <v>74.849999999999994</v>
      </c>
      <c r="L239" t="s">
        <v>1290</v>
      </c>
      <c r="M239" s="6">
        <f t="shared" si="7"/>
        <v>0.21836163136705758</v>
      </c>
      <c r="N239" s="6" t="str" cm="1">
        <f t="array" ref="N239">_xlfn.IFS('Data Cleaning &amp; Transf'!H239&lt;500,"LOW",AND('Data Cleaning &amp; Transf'!H239 &gt;500,'Data Cleaning &amp; Transf'!H239&lt;1000),"Medium",'Data Cleaning &amp; Transf'!H239&gt;1000,"High")</f>
        <v>LOW</v>
      </c>
    </row>
    <row r="240" spans="1:14" x14ac:dyDescent="0.3">
      <c r="A240" t="s">
        <v>249</v>
      </c>
      <c r="B240" s="2" t="s">
        <v>635</v>
      </c>
      <c r="C240" s="9" t="str">
        <f t="shared" si="6"/>
        <v>01-2023</v>
      </c>
      <c r="D240" t="s">
        <v>784</v>
      </c>
      <c r="E240" t="s">
        <v>788</v>
      </c>
      <c r="F240" t="s">
        <v>793</v>
      </c>
      <c r="G240" t="s">
        <v>1039</v>
      </c>
      <c r="H240">
        <v>1380.18</v>
      </c>
      <c r="I240">
        <v>2</v>
      </c>
      <c r="J240">
        <v>0</v>
      </c>
      <c r="K240">
        <v>310.8</v>
      </c>
      <c r="L240" t="s">
        <v>1290</v>
      </c>
      <c r="M240" s="6">
        <f t="shared" si="7"/>
        <v>0.22518801895404947</v>
      </c>
      <c r="N240" s="6" t="str" cm="1">
        <f t="array" ref="N240">_xlfn.IFS('Data Cleaning &amp; Transf'!H240&lt;500,"LOW",AND('Data Cleaning &amp; Transf'!H240 &gt;500,'Data Cleaning &amp; Transf'!H240&lt;1000),"Medium",'Data Cleaning &amp; Transf'!H240&gt;1000,"High")</f>
        <v>High</v>
      </c>
    </row>
    <row r="241" spans="1:14" x14ac:dyDescent="0.3">
      <c r="A241" t="s">
        <v>250</v>
      </c>
      <c r="B241" s="2" t="s">
        <v>612</v>
      </c>
      <c r="C241" s="9" t="str">
        <f t="shared" si="6"/>
        <v>03-2023</v>
      </c>
      <c r="D241" t="s">
        <v>783</v>
      </c>
      <c r="E241" t="s">
        <v>789</v>
      </c>
      <c r="F241" t="s">
        <v>794</v>
      </c>
      <c r="G241" t="s">
        <v>1040</v>
      </c>
      <c r="H241">
        <v>149.47999999999999</v>
      </c>
      <c r="I241">
        <v>1</v>
      </c>
      <c r="J241">
        <v>0.15</v>
      </c>
      <c r="K241">
        <v>-5.77</v>
      </c>
      <c r="L241" t="s">
        <v>1291</v>
      </c>
      <c r="M241" s="6">
        <f t="shared" si="7"/>
        <v>-3.8600481669788599E-2</v>
      </c>
      <c r="N241" s="6" t="str" cm="1">
        <f t="array" ref="N241">_xlfn.IFS('Data Cleaning &amp; Transf'!H241&lt;500,"LOW",AND('Data Cleaning &amp; Transf'!H241 &gt;500,'Data Cleaning &amp; Transf'!H241&lt;1000),"Medium",'Data Cleaning &amp; Transf'!H241&gt;1000,"High")</f>
        <v>LOW</v>
      </c>
    </row>
    <row r="242" spans="1:14" x14ac:dyDescent="0.3">
      <c r="A242" t="s">
        <v>251</v>
      </c>
      <c r="B242" s="2" t="s">
        <v>685</v>
      </c>
      <c r="C242" s="9" t="str">
        <f t="shared" si="6"/>
        <v>08-2023</v>
      </c>
      <c r="D242" t="s">
        <v>786</v>
      </c>
      <c r="E242" t="s">
        <v>789</v>
      </c>
      <c r="F242" t="s">
        <v>799</v>
      </c>
      <c r="G242" t="s">
        <v>1041</v>
      </c>
      <c r="H242">
        <v>701.7</v>
      </c>
      <c r="I242">
        <v>2</v>
      </c>
      <c r="J242">
        <v>0.1</v>
      </c>
      <c r="K242">
        <v>132.63999999999999</v>
      </c>
      <c r="L242" t="s">
        <v>1291</v>
      </c>
      <c r="M242" s="6">
        <f t="shared" si="7"/>
        <v>0.18902664956534129</v>
      </c>
      <c r="N242" s="6" t="str" cm="1">
        <f t="array" ref="N242">_xlfn.IFS('Data Cleaning &amp; Transf'!H242&lt;500,"LOW",AND('Data Cleaning &amp; Transf'!H242 &gt;500,'Data Cleaning &amp; Transf'!H242&lt;1000),"Medium",'Data Cleaning &amp; Transf'!H242&gt;1000,"High")</f>
        <v>Medium</v>
      </c>
    </row>
    <row r="243" spans="1:14" x14ac:dyDescent="0.3">
      <c r="A243" t="s">
        <v>252</v>
      </c>
      <c r="B243" s="2" t="s">
        <v>523</v>
      </c>
      <c r="C243" s="9" t="str">
        <f t="shared" si="6"/>
        <v>11-2023</v>
      </c>
      <c r="D243" t="s">
        <v>786</v>
      </c>
      <c r="E243" t="s">
        <v>789</v>
      </c>
      <c r="F243" t="s">
        <v>797</v>
      </c>
      <c r="G243" t="s">
        <v>1042</v>
      </c>
      <c r="H243">
        <v>1551.19</v>
      </c>
      <c r="I243">
        <v>10</v>
      </c>
      <c r="J243">
        <v>0.1</v>
      </c>
      <c r="K243">
        <v>-73.36</v>
      </c>
      <c r="L243" t="s">
        <v>1290</v>
      </c>
      <c r="M243" s="6">
        <f t="shared" si="7"/>
        <v>-4.7292723650874488E-2</v>
      </c>
      <c r="N243" s="6" t="str" cm="1">
        <f t="array" ref="N243">_xlfn.IFS('Data Cleaning &amp; Transf'!H243&lt;500,"LOW",AND('Data Cleaning &amp; Transf'!H243 &gt;500,'Data Cleaning &amp; Transf'!H243&lt;1000),"Medium",'Data Cleaning &amp; Transf'!H243&gt;1000,"High")</f>
        <v>High</v>
      </c>
    </row>
    <row r="244" spans="1:14" x14ac:dyDescent="0.3">
      <c r="A244" t="s">
        <v>253</v>
      </c>
      <c r="B244" s="2" t="s">
        <v>553</v>
      </c>
      <c r="C244" s="9" t="str">
        <f t="shared" si="6"/>
        <v>12-2023</v>
      </c>
      <c r="D244" t="s">
        <v>785</v>
      </c>
      <c r="E244" t="s">
        <v>788</v>
      </c>
      <c r="F244" t="s">
        <v>796</v>
      </c>
      <c r="G244" t="s">
        <v>1043</v>
      </c>
      <c r="H244">
        <v>1771.65</v>
      </c>
      <c r="I244">
        <v>4</v>
      </c>
      <c r="J244">
        <v>0</v>
      </c>
      <c r="K244">
        <v>314.56</v>
      </c>
      <c r="L244" t="s">
        <v>1289</v>
      </c>
      <c r="M244" s="6">
        <f t="shared" si="7"/>
        <v>0.17755199954844353</v>
      </c>
      <c r="N244" s="6" t="str" cm="1">
        <f t="array" ref="N244">_xlfn.IFS('Data Cleaning &amp; Transf'!H244&lt;500,"LOW",AND('Data Cleaning &amp; Transf'!H244 &gt;500,'Data Cleaning &amp; Transf'!H244&lt;1000),"Medium",'Data Cleaning &amp; Transf'!H244&gt;1000,"High")</f>
        <v>High</v>
      </c>
    </row>
    <row r="245" spans="1:14" x14ac:dyDescent="0.3">
      <c r="A245" t="s">
        <v>254</v>
      </c>
      <c r="B245" s="2" t="s">
        <v>546</v>
      </c>
      <c r="C245" s="9" t="str">
        <f t="shared" si="6"/>
        <v>08-2023</v>
      </c>
      <c r="D245" t="s">
        <v>784</v>
      </c>
      <c r="E245" t="s">
        <v>788</v>
      </c>
      <c r="F245" t="s">
        <v>795</v>
      </c>
      <c r="G245" t="s">
        <v>1044</v>
      </c>
      <c r="H245">
        <v>104.99</v>
      </c>
      <c r="I245">
        <v>7</v>
      </c>
      <c r="J245">
        <v>0.05</v>
      </c>
      <c r="K245">
        <v>12.61</v>
      </c>
      <c r="L245" t="s">
        <v>1290</v>
      </c>
      <c r="M245" s="6">
        <f t="shared" si="7"/>
        <v>0.12010667682636442</v>
      </c>
      <c r="N245" s="6" t="str" cm="1">
        <f t="array" ref="N245">_xlfn.IFS('Data Cleaning &amp; Transf'!H245&lt;500,"LOW",AND('Data Cleaning &amp; Transf'!H245 &gt;500,'Data Cleaning &amp; Transf'!H245&lt;1000),"Medium",'Data Cleaning &amp; Transf'!H245&gt;1000,"High")</f>
        <v>LOW</v>
      </c>
    </row>
    <row r="246" spans="1:14" x14ac:dyDescent="0.3">
      <c r="A246" t="s">
        <v>255</v>
      </c>
      <c r="B246" s="2" t="s">
        <v>606</v>
      </c>
      <c r="C246" s="9" t="str">
        <f t="shared" si="6"/>
        <v>10-2023</v>
      </c>
      <c r="D246" t="s">
        <v>785</v>
      </c>
      <c r="E246" t="s">
        <v>789</v>
      </c>
      <c r="F246" t="s">
        <v>798</v>
      </c>
      <c r="G246" t="s">
        <v>1045</v>
      </c>
      <c r="H246">
        <v>917.72</v>
      </c>
      <c r="I246">
        <v>3</v>
      </c>
      <c r="J246">
        <v>0.1</v>
      </c>
      <c r="K246">
        <v>180.29</v>
      </c>
      <c r="L246" t="s">
        <v>1289</v>
      </c>
      <c r="M246" s="6">
        <f t="shared" si="7"/>
        <v>0.19645425620014817</v>
      </c>
      <c r="N246" s="6" t="str" cm="1">
        <f t="array" ref="N246">_xlfn.IFS('Data Cleaning &amp; Transf'!H246&lt;500,"LOW",AND('Data Cleaning &amp; Transf'!H246 &gt;500,'Data Cleaning &amp; Transf'!H246&lt;1000),"Medium",'Data Cleaning &amp; Transf'!H246&gt;1000,"High")</f>
        <v>Medium</v>
      </c>
    </row>
    <row r="247" spans="1:14" x14ac:dyDescent="0.3">
      <c r="A247" t="s">
        <v>256</v>
      </c>
      <c r="B247" s="2" t="s">
        <v>686</v>
      </c>
      <c r="C247" s="9" t="str">
        <f t="shared" si="6"/>
        <v>08-2023</v>
      </c>
      <c r="D247" t="s">
        <v>784</v>
      </c>
      <c r="E247" t="s">
        <v>787</v>
      </c>
      <c r="F247" t="s">
        <v>801</v>
      </c>
      <c r="G247" t="s">
        <v>1046</v>
      </c>
      <c r="H247">
        <v>1484.02</v>
      </c>
      <c r="I247">
        <v>9</v>
      </c>
      <c r="J247">
        <v>0.05</v>
      </c>
      <c r="K247">
        <v>336.88</v>
      </c>
      <c r="L247" t="s">
        <v>1291</v>
      </c>
      <c r="M247" s="6">
        <f t="shared" si="7"/>
        <v>0.22700502688643009</v>
      </c>
      <c r="N247" s="6" t="str" cm="1">
        <f t="array" ref="N247">_xlfn.IFS('Data Cleaning &amp; Transf'!H247&lt;500,"LOW",AND('Data Cleaning &amp; Transf'!H247 &gt;500,'Data Cleaning &amp; Transf'!H247&lt;1000),"Medium",'Data Cleaning &amp; Transf'!H247&gt;1000,"High")</f>
        <v>High</v>
      </c>
    </row>
    <row r="248" spans="1:14" x14ac:dyDescent="0.3">
      <c r="A248" t="s">
        <v>257</v>
      </c>
      <c r="B248" s="2" t="s">
        <v>608</v>
      </c>
      <c r="C248" s="9" t="str">
        <f t="shared" si="6"/>
        <v>06-2023</v>
      </c>
      <c r="D248" t="s">
        <v>783</v>
      </c>
      <c r="E248" t="s">
        <v>788</v>
      </c>
      <c r="F248" t="s">
        <v>796</v>
      </c>
      <c r="G248" t="s">
        <v>1047</v>
      </c>
      <c r="H248">
        <v>321.19</v>
      </c>
      <c r="I248">
        <v>7</v>
      </c>
      <c r="J248">
        <v>0.15</v>
      </c>
      <c r="K248">
        <v>-5.62</v>
      </c>
      <c r="L248" t="s">
        <v>1289</v>
      </c>
      <c r="M248" s="6">
        <f t="shared" si="7"/>
        <v>-1.7497431426881285E-2</v>
      </c>
      <c r="N248" s="6" t="str" cm="1">
        <f t="array" ref="N248">_xlfn.IFS('Data Cleaning &amp; Transf'!H248&lt;500,"LOW",AND('Data Cleaning &amp; Transf'!H248 &gt;500,'Data Cleaning &amp; Transf'!H248&lt;1000),"Medium",'Data Cleaning &amp; Transf'!H248&gt;1000,"High")</f>
        <v>LOW</v>
      </c>
    </row>
    <row r="249" spans="1:14" x14ac:dyDescent="0.3">
      <c r="A249" t="s">
        <v>258</v>
      </c>
      <c r="B249" s="2" t="s">
        <v>687</v>
      </c>
      <c r="C249" s="9" t="str">
        <f t="shared" si="6"/>
        <v>06-2023</v>
      </c>
      <c r="D249" t="s">
        <v>784</v>
      </c>
      <c r="E249" t="s">
        <v>789</v>
      </c>
      <c r="F249" t="s">
        <v>799</v>
      </c>
      <c r="G249" t="s">
        <v>1048</v>
      </c>
      <c r="H249">
        <v>454.44</v>
      </c>
      <c r="I249">
        <v>6</v>
      </c>
      <c r="J249">
        <v>0</v>
      </c>
      <c r="K249">
        <v>124.14</v>
      </c>
      <c r="L249" t="s">
        <v>1290</v>
      </c>
      <c r="M249" s="6">
        <f t="shared" si="7"/>
        <v>0.2731713757591761</v>
      </c>
      <c r="N249" s="6" t="str" cm="1">
        <f t="array" ref="N249">_xlfn.IFS('Data Cleaning &amp; Transf'!H249&lt;500,"LOW",AND('Data Cleaning &amp; Transf'!H249 &gt;500,'Data Cleaning &amp; Transf'!H249&lt;1000),"Medium",'Data Cleaning &amp; Transf'!H249&gt;1000,"High")</f>
        <v>LOW</v>
      </c>
    </row>
    <row r="250" spans="1:14" x14ac:dyDescent="0.3">
      <c r="A250" t="s">
        <v>259</v>
      </c>
      <c r="B250" s="2" t="s">
        <v>555</v>
      </c>
      <c r="C250" s="9" t="str">
        <f t="shared" si="6"/>
        <v>07-2023</v>
      </c>
      <c r="D250" t="s">
        <v>783</v>
      </c>
      <c r="E250" t="s">
        <v>787</v>
      </c>
      <c r="F250" t="s">
        <v>790</v>
      </c>
      <c r="G250" t="s">
        <v>1049</v>
      </c>
      <c r="H250">
        <v>910.53</v>
      </c>
      <c r="I250">
        <v>7</v>
      </c>
      <c r="J250">
        <v>0.15</v>
      </c>
      <c r="K250">
        <v>110.8</v>
      </c>
      <c r="L250" t="s">
        <v>1289</v>
      </c>
      <c r="M250" s="6">
        <f t="shared" si="7"/>
        <v>0.12168736889503916</v>
      </c>
      <c r="N250" s="6" t="str" cm="1">
        <f t="array" ref="N250">_xlfn.IFS('Data Cleaning &amp; Transf'!H250&lt;500,"LOW",AND('Data Cleaning &amp; Transf'!H250 &gt;500,'Data Cleaning &amp; Transf'!H250&lt;1000),"Medium",'Data Cleaning &amp; Transf'!H250&gt;1000,"High")</f>
        <v>Medium</v>
      </c>
    </row>
    <row r="251" spans="1:14" x14ac:dyDescent="0.3">
      <c r="A251" t="s">
        <v>260</v>
      </c>
      <c r="B251" s="2" t="s">
        <v>688</v>
      </c>
      <c r="C251" s="9" t="str">
        <f t="shared" si="6"/>
        <v>01-2023</v>
      </c>
      <c r="D251" t="s">
        <v>785</v>
      </c>
      <c r="E251" t="s">
        <v>788</v>
      </c>
      <c r="F251" t="s">
        <v>793</v>
      </c>
      <c r="G251" t="s">
        <v>1050</v>
      </c>
      <c r="H251">
        <v>1378.64</v>
      </c>
      <c r="I251">
        <v>5</v>
      </c>
      <c r="J251">
        <v>0.2</v>
      </c>
      <c r="K251">
        <v>31.99</v>
      </c>
      <c r="L251" t="s">
        <v>1291</v>
      </c>
      <c r="M251" s="6">
        <f t="shared" si="7"/>
        <v>2.3204027157198395E-2</v>
      </c>
      <c r="N251" s="6" t="str" cm="1">
        <f t="array" ref="N251">_xlfn.IFS('Data Cleaning &amp; Transf'!H251&lt;500,"LOW",AND('Data Cleaning &amp; Transf'!H251 &gt;500,'Data Cleaning &amp; Transf'!H251&lt;1000),"Medium",'Data Cleaning &amp; Transf'!H251&gt;1000,"High")</f>
        <v>High</v>
      </c>
    </row>
    <row r="252" spans="1:14" x14ac:dyDescent="0.3">
      <c r="A252" t="s">
        <v>261</v>
      </c>
      <c r="B252" s="2" t="s">
        <v>670</v>
      </c>
      <c r="C252" s="9" t="str">
        <f t="shared" si="6"/>
        <v>05-2023</v>
      </c>
      <c r="D252" t="s">
        <v>784</v>
      </c>
      <c r="E252" t="s">
        <v>788</v>
      </c>
      <c r="F252" t="s">
        <v>793</v>
      </c>
      <c r="G252" t="s">
        <v>1051</v>
      </c>
      <c r="H252">
        <v>1323.68</v>
      </c>
      <c r="I252">
        <v>6</v>
      </c>
      <c r="J252">
        <v>0.15</v>
      </c>
      <c r="K252">
        <v>190.92</v>
      </c>
      <c r="L252" t="s">
        <v>1289</v>
      </c>
      <c r="M252" s="6">
        <f t="shared" si="7"/>
        <v>0.14423425601353801</v>
      </c>
      <c r="N252" s="6" t="str" cm="1">
        <f t="array" ref="N252">_xlfn.IFS('Data Cleaning &amp; Transf'!H252&lt;500,"LOW",AND('Data Cleaning &amp; Transf'!H252 &gt;500,'Data Cleaning &amp; Transf'!H252&lt;1000),"Medium",'Data Cleaning &amp; Transf'!H252&gt;1000,"High")</f>
        <v>High</v>
      </c>
    </row>
    <row r="253" spans="1:14" x14ac:dyDescent="0.3">
      <c r="A253" t="s">
        <v>262</v>
      </c>
      <c r="B253" s="2" t="s">
        <v>551</v>
      </c>
      <c r="C253" s="9" t="str">
        <f t="shared" si="6"/>
        <v>08-2023</v>
      </c>
      <c r="D253" t="s">
        <v>785</v>
      </c>
      <c r="E253" t="s">
        <v>788</v>
      </c>
      <c r="F253" t="s">
        <v>796</v>
      </c>
      <c r="G253" t="s">
        <v>1052</v>
      </c>
      <c r="H253">
        <v>168.27</v>
      </c>
      <c r="I253">
        <v>9</v>
      </c>
      <c r="J253">
        <v>0.15</v>
      </c>
      <c r="K253">
        <v>20.059999999999999</v>
      </c>
      <c r="L253" t="s">
        <v>1289</v>
      </c>
      <c r="M253" s="6">
        <f t="shared" si="7"/>
        <v>0.119213169311226</v>
      </c>
      <c r="N253" s="6" t="str" cm="1">
        <f t="array" ref="N253">_xlfn.IFS('Data Cleaning &amp; Transf'!H253&lt;500,"LOW",AND('Data Cleaning &amp; Transf'!H253 &gt;500,'Data Cleaning &amp; Transf'!H253&lt;1000),"Medium",'Data Cleaning &amp; Transf'!H253&gt;1000,"High")</f>
        <v>LOW</v>
      </c>
    </row>
    <row r="254" spans="1:14" x14ac:dyDescent="0.3">
      <c r="A254" t="s">
        <v>263</v>
      </c>
      <c r="B254" s="2" t="s">
        <v>689</v>
      </c>
      <c r="C254" s="9" t="str">
        <f t="shared" si="6"/>
        <v>07-2023</v>
      </c>
      <c r="D254" t="s">
        <v>784</v>
      </c>
      <c r="E254" t="s">
        <v>787</v>
      </c>
      <c r="F254" t="s">
        <v>790</v>
      </c>
      <c r="G254" t="s">
        <v>1053</v>
      </c>
      <c r="H254">
        <v>1451.61</v>
      </c>
      <c r="I254">
        <v>4</v>
      </c>
      <c r="J254">
        <v>0.1</v>
      </c>
      <c r="K254">
        <v>109.24</v>
      </c>
      <c r="L254" t="s">
        <v>1290</v>
      </c>
      <c r="M254" s="6">
        <f t="shared" si="7"/>
        <v>7.5254372730967689E-2</v>
      </c>
      <c r="N254" s="6" t="str" cm="1">
        <f t="array" ref="N254">_xlfn.IFS('Data Cleaning &amp; Transf'!H254&lt;500,"LOW",AND('Data Cleaning &amp; Transf'!H254 &gt;500,'Data Cleaning &amp; Transf'!H254&lt;1000),"Medium",'Data Cleaning &amp; Transf'!H254&gt;1000,"High")</f>
        <v>High</v>
      </c>
    </row>
    <row r="255" spans="1:14" x14ac:dyDescent="0.3">
      <c r="A255" t="s">
        <v>264</v>
      </c>
      <c r="B255" s="2" t="s">
        <v>690</v>
      </c>
      <c r="C255" s="9" t="str">
        <f t="shared" si="6"/>
        <v>03-2023</v>
      </c>
      <c r="D255" t="s">
        <v>785</v>
      </c>
      <c r="E255" t="s">
        <v>788</v>
      </c>
      <c r="F255" t="s">
        <v>796</v>
      </c>
      <c r="G255" t="s">
        <v>1054</v>
      </c>
      <c r="H255">
        <v>1244.69</v>
      </c>
      <c r="I255">
        <v>6</v>
      </c>
      <c r="J255">
        <v>0.1</v>
      </c>
      <c r="K255">
        <v>185.02</v>
      </c>
      <c r="L255" t="s">
        <v>1289</v>
      </c>
      <c r="M255" s="6">
        <f t="shared" si="7"/>
        <v>0.14864745438623272</v>
      </c>
      <c r="N255" s="6" t="str" cm="1">
        <f t="array" ref="N255">_xlfn.IFS('Data Cleaning &amp; Transf'!H255&lt;500,"LOW",AND('Data Cleaning &amp; Transf'!H255 &gt;500,'Data Cleaning &amp; Transf'!H255&lt;1000),"Medium",'Data Cleaning &amp; Transf'!H255&gt;1000,"High")</f>
        <v>High</v>
      </c>
    </row>
    <row r="256" spans="1:14" x14ac:dyDescent="0.3">
      <c r="A256" t="s">
        <v>265</v>
      </c>
      <c r="B256" s="2" t="s">
        <v>614</v>
      </c>
      <c r="C256" s="9" t="str">
        <f t="shared" si="6"/>
        <v>01-2023</v>
      </c>
      <c r="D256" t="s">
        <v>786</v>
      </c>
      <c r="E256" t="s">
        <v>789</v>
      </c>
      <c r="F256" t="s">
        <v>794</v>
      </c>
      <c r="G256" t="s">
        <v>1055</v>
      </c>
      <c r="H256">
        <v>855.41</v>
      </c>
      <c r="I256">
        <v>6</v>
      </c>
      <c r="J256">
        <v>0.15</v>
      </c>
      <c r="K256">
        <v>61.6</v>
      </c>
      <c r="L256" t="s">
        <v>1289</v>
      </c>
      <c r="M256" s="6">
        <f t="shared" si="7"/>
        <v>7.2012251434984395E-2</v>
      </c>
      <c r="N256" s="6" t="str" cm="1">
        <f t="array" ref="N256">_xlfn.IFS('Data Cleaning &amp; Transf'!H256&lt;500,"LOW",AND('Data Cleaning &amp; Transf'!H256 &gt;500,'Data Cleaning &amp; Transf'!H256&lt;1000),"Medium",'Data Cleaning &amp; Transf'!H256&gt;1000,"High")</f>
        <v>Medium</v>
      </c>
    </row>
    <row r="257" spans="1:14" x14ac:dyDescent="0.3">
      <c r="A257" t="s">
        <v>266</v>
      </c>
      <c r="B257" s="2" t="s">
        <v>691</v>
      </c>
      <c r="C257" s="9" t="str">
        <f t="shared" si="6"/>
        <v>01-2023</v>
      </c>
      <c r="D257" t="s">
        <v>783</v>
      </c>
      <c r="E257" t="s">
        <v>788</v>
      </c>
      <c r="F257" t="s">
        <v>791</v>
      </c>
      <c r="G257" t="s">
        <v>1056</v>
      </c>
      <c r="H257">
        <v>388.34</v>
      </c>
      <c r="I257">
        <v>3</v>
      </c>
      <c r="J257">
        <v>0</v>
      </c>
      <c r="K257">
        <v>52.65</v>
      </c>
      <c r="L257" t="s">
        <v>1289</v>
      </c>
      <c r="M257" s="6">
        <f t="shared" si="7"/>
        <v>0.13557707163825514</v>
      </c>
      <c r="N257" s="6" t="str" cm="1">
        <f t="array" ref="N257">_xlfn.IFS('Data Cleaning &amp; Transf'!H257&lt;500,"LOW",AND('Data Cleaning &amp; Transf'!H257 &gt;500,'Data Cleaning &amp; Transf'!H257&lt;1000),"Medium",'Data Cleaning &amp; Transf'!H257&gt;1000,"High")</f>
        <v>LOW</v>
      </c>
    </row>
    <row r="258" spans="1:14" x14ac:dyDescent="0.3">
      <c r="A258" t="s">
        <v>267</v>
      </c>
      <c r="B258" s="2" t="s">
        <v>692</v>
      </c>
      <c r="C258" s="9" t="str">
        <f t="shared" si="6"/>
        <v>12-2023</v>
      </c>
      <c r="D258" t="s">
        <v>784</v>
      </c>
      <c r="E258" t="s">
        <v>789</v>
      </c>
      <c r="F258" t="s">
        <v>794</v>
      </c>
      <c r="G258" t="s">
        <v>1057</v>
      </c>
      <c r="H258">
        <v>78.430000000000007</v>
      </c>
      <c r="I258">
        <v>3</v>
      </c>
      <c r="J258">
        <v>0</v>
      </c>
      <c r="K258">
        <v>14.19</v>
      </c>
      <c r="L258" t="s">
        <v>1290</v>
      </c>
      <c r="M258" s="6">
        <f t="shared" si="7"/>
        <v>0.18092566619915845</v>
      </c>
      <c r="N258" s="6" t="str" cm="1">
        <f t="array" ref="N258">_xlfn.IFS('Data Cleaning &amp; Transf'!H258&lt;500,"LOW",AND('Data Cleaning &amp; Transf'!H258 &gt;500,'Data Cleaning &amp; Transf'!H258&lt;1000),"Medium",'Data Cleaning &amp; Transf'!H258&gt;1000,"High")</f>
        <v>LOW</v>
      </c>
    </row>
    <row r="259" spans="1:14" x14ac:dyDescent="0.3">
      <c r="A259" t="s">
        <v>268</v>
      </c>
      <c r="B259" s="2" t="s">
        <v>693</v>
      </c>
      <c r="C259" s="9" t="str">
        <f t="shared" ref="C259:C322" si="8">TEXT(B259,"MM-YYYY")</f>
        <v>07-2023</v>
      </c>
      <c r="D259" t="s">
        <v>786</v>
      </c>
      <c r="E259" t="s">
        <v>788</v>
      </c>
      <c r="F259" t="s">
        <v>795</v>
      </c>
      <c r="G259" t="s">
        <v>1058</v>
      </c>
      <c r="H259">
        <v>331.32</v>
      </c>
      <c r="I259">
        <v>4</v>
      </c>
      <c r="J259">
        <v>0</v>
      </c>
      <c r="K259">
        <v>91.39</v>
      </c>
      <c r="L259" t="s">
        <v>1289</v>
      </c>
      <c r="M259" s="6">
        <f t="shared" ref="M259:M322" si="9">K259/H259</f>
        <v>0.27583604974043224</v>
      </c>
      <c r="N259" s="6" t="str" cm="1">
        <f t="array" ref="N259">_xlfn.IFS('Data Cleaning &amp; Transf'!H259&lt;500,"LOW",AND('Data Cleaning &amp; Transf'!H259 &gt;500,'Data Cleaning &amp; Transf'!H259&lt;1000),"Medium",'Data Cleaning &amp; Transf'!H259&gt;1000,"High")</f>
        <v>LOW</v>
      </c>
    </row>
    <row r="260" spans="1:14" x14ac:dyDescent="0.3">
      <c r="A260" t="s">
        <v>269</v>
      </c>
      <c r="B260" s="2" t="s">
        <v>600</v>
      </c>
      <c r="C260" s="9" t="str">
        <f t="shared" si="8"/>
        <v>09-2023</v>
      </c>
      <c r="D260" t="s">
        <v>783</v>
      </c>
      <c r="E260" t="s">
        <v>788</v>
      </c>
      <c r="F260" t="s">
        <v>796</v>
      </c>
      <c r="G260" t="s">
        <v>1059</v>
      </c>
      <c r="H260">
        <v>450.64</v>
      </c>
      <c r="I260">
        <v>8</v>
      </c>
      <c r="J260">
        <v>0</v>
      </c>
      <c r="K260">
        <v>127.57</v>
      </c>
      <c r="L260" t="s">
        <v>1291</v>
      </c>
      <c r="M260" s="6">
        <f t="shared" si="9"/>
        <v>0.28308627729451447</v>
      </c>
      <c r="N260" s="6" t="str" cm="1">
        <f t="array" ref="N260">_xlfn.IFS('Data Cleaning &amp; Transf'!H260&lt;500,"LOW",AND('Data Cleaning &amp; Transf'!H260 &gt;500,'Data Cleaning &amp; Transf'!H260&lt;1000),"Medium",'Data Cleaning &amp; Transf'!H260&gt;1000,"High")</f>
        <v>LOW</v>
      </c>
    </row>
    <row r="261" spans="1:14" x14ac:dyDescent="0.3">
      <c r="A261" t="s">
        <v>270</v>
      </c>
      <c r="B261" s="2" t="s">
        <v>554</v>
      </c>
      <c r="C261" s="9" t="str">
        <f t="shared" si="8"/>
        <v>03-2023</v>
      </c>
      <c r="D261" t="s">
        <v>785</v>
      </c>
      <c r="E261" t="s">
        <v>788</v>
      </c>
      <c r="F261" t="s">
        <v>791</v>
      </c>
      <c r="G261" t="s">
        <v>1060</v>
      </c>
      <c r="H261">
        <v>419.05</v>
      </c>
      <c r="I261">
        <v>4</v>
      </c>
      <c r="J261">
        <v>0.15</v>
      </c>
      <c r="K261">
        <v>-10.02</v>
      </c>
      <c r="L261" t="s">
        <v>1289</v>
      </c>
      <c r="M261" s="6">
        <f t="shared" si="9"/>
        <v>-2.39112277771149E-2</v>
      </c>
      <c r="N261" s="6" t="str" cm="1">
        <f t="array" ref="N261">_xlfn.IFS('Data Cleaning &amp; Transf'!H261&lt;500,"LOW",AND('Data Cleaning &amp; Transf'!H261 &gt;500,'Data Cleaning &amp; Transf'!H261&lt;1000),"Medium",'Data Cleaning &amp; Transf'!H261&gt;1000,"High")</f>
        <v>LOW</v>
      </c>
    </row>
    <row r="262" spans="1:14" x14ac:dyDescent="0.3">
      <c r="A262" t="s">
        <v>271</v>
      </c>
      <c r="B262" s="2" t="s">
        <v>633</v>
      </c>
      <c r="C262" s="9" t="str">
        <f t="shared" si="8"/>
        <v>10-2023</v>
      </c>
      <c r="D262" t="s">
        <v>783</v>
      </c>
      <c r="E262" t="s">
        <v>787</v>
      </c>
      <c r="F262" t="s">
        <v>801</v>
      </c>
      <c r="G262" t="s">
        <v>1061</v>
      </c>
      <c r="H262">
        <v>1042.25</v>
      </c>
      <c r="I262">
        <v>8</v>
      </c>
      <c r="J262">
        <v>0.15</v>
      </c>
      <c r="K262">
        <v>116.5</v>
      </c>
      <c r="L262" t="s">
        <v>1291</v>
      </c>
      <c r="M262" s="6">
        <f t="shared" si="9"/>
        <v>0.1117774046533941</v>
      </c>
      <c r="N262" s="6" t="str" cm="1">
        <f t="array" ref="N262">_xlfn.IFS('Data Cleaning &amp; Transf'!H262&lt;500,"LOW",AND('Data Cleaning &amp; Transf'!H262 &gt;500,'Data Cleaning &amp; Transf'!H262&lt;1000),"Medium",'Data Cleaning &amp; Transf'!H262&gt;1000,"High")</f>
        <v>High</v>
      </c>
    </row>
    <row r="263" spans="1:14" x14ac:dyDescent="0.3">
      <c r="A263" t="s">
        <v>272</v>
      </c>
      <c r="B263" s="2" t="s">
        <v>621</v>
      </c>
      <c r="C263" s="9" t="str">
        <f t="shared" si="8"/>
        <v>08-2023</v>
      </c>
      <c r="D263" t="s">
        <v>785</v>
      </c>
      <c r="E263" t="s">
        <v>788</v>
      </c>
      <c r="F263" t="s">
        <v>791</v>
      </c>
      <c r="G263" t="s">
        <v>1062</v>
      </c>
      <c r="H263">
        <v>1034.56</v>
      </c>
      <c r="I263">
        <v>6</v>
      </c>
      <c r="J263">
        <v>0.05</v>
      </c>
      <c r="K263">
        <v>88.43</v>
      </c>
      <c r="L263" t="s">
        <v>1289</v>
      </c>
      <c r="M263" s="6">
        <f t="shared" si="9"/>
        <v>8.5475951128982375E-2</v>
      </c>
      <c r="N263" s="6" t="str" cm="1">
        <f t="array" ref="N263">_xlfn.IFS('Data Cleaning &amp; Transf'!H263&lt;500,"LOW",AND('Data Cleaning &amp; Transf'!H263 &gt;500,'Data Cleaning &amp; Transf'!H263&lt;1000),"Medium",'Data Cleaning &amp; Transf'!H263&gt;1000,"High")</f>
        <v>High</v>
      </c>
    </row>
    <row r="264" spans="1:14" x14ac:dyDescent="0.3">
      <c r="A264" t="s">
        <v>273</v>
      </c>
      <c r="B264" s="2" t="s">
        <v>513</v>
      </c>
      <c r="C264" s="9" t="str">
        <f t="shared" si="8"/>
        <v>01-2023</v>
      </c>
      <c r="D264" t="s">
        <v>784</v>
      </c>
      <c r="E264" t="s">
        <v>788</v>
      </c>
      <c r="F264" t="s">
        <v>796</v>
      </c>
      <c r="G264" t="s">
        <v>1063</v>
      </c>
      <c r="H264">
        <v>1362.52</v>
      </c>
      <c r="I264">
        <v>6</v>
      </c>
      <c r="J264">
        <v>0.05</v>
      </c>
      <c r="K264">
        <v>264.72000000000003</v>
      </c>
      <c r="L264" t="s">
        <v>1291</v>
      </c>
      <c r="M264" s="6">
        <f t="shared" si="9"/>
        <v>0.19428705633678775</v>
      </c>
      <c r="N264" s="6" t="str" cm="1">
        <f t="array" ref="N264">_xlfn.IFS('Data Cleaning &amp; Transf'!H264&lt;500,"LOW",AND('Data Cleaning &amp; Transf'!H264 &gt;500,'Data Cleaning &amp; Transf'!H264&lt;1000),"Medium",'Data Cleaning &amp; Transf'!H264&gt;1000,"High")</f>
        <v>High</v>
      </c>
    </row>
    <row r="265" spans="1:14" x14ac:dyDescent="0.3">
      <c r="A265" t="s">
        <v>274</v>
      </c>
      <c r="B265" s="2" t="s">
        <v>694</v>
      </c>
      <c r="C265" s="9" t="str">
        <f t="shared" si="8"/>
        <v>04-2023</v>
      </c>
      <c r="D265" t="s">
        <v>785</v>
      </c>
      <c r="E265" t="s">
        <v>788</v>
      </c>
      <c r="F265" t="s">
        <v>791</v>
      </c>
      <c r="G265" t="s">
        <v>1064</v>
      </c>
      <c r="H265">
        <v>1647</v>
      </c>
      <c r="I265">
        <v>7</v>
      </c>
      <c r="J265">
        <v>0.1</v>
      </c>
      <c r="K265">
        <v>187</v>
      </c>
      <c r="L265" t="s">
        <v>1291</v>
      </c>
      <c r="M265" s="6">
        <f t="shared" si="9"/>
        <v>0.1135397692774742</v>
      </c>
      <c r="N265" s="6" t="str" cm="1">
        <f t="array" ref="N265">_xlfn.IFS('Data Cleaning &amp; Transf'!H265&lt;500,"LOW",AND('Data Cleaning &amp; Transf'!H265 &gt;500,'Data Cleaning &amp; Transf'!H265&lt;1000),"Medium",'Data Cleaning &amp; Transf'!H265&gt;1000,"High")</f>
        <v>High</v>
      </c>
    </row>
    <row r="266" spans="1:14" x14ac:dyDescent="0.3">
      <c r="A266" t="s">
        <v>275</v>
      </c>
      <c r="B266" s="2" t="s">
        <v>695</v>
      </c>
      <c r="C266" s="9" t="str">
        <f t="shared" si="8"/>
        <v>05-2023</v>
      </c>
      <c r="D266" t="s">
        <v>786</v>
      </c>
      <c r="E266" t="s">
        <v>789</v>
      </c>
      <c r="F266" t="s">
        <v>794</v>
      </c>
      <c r="G266" t="s">
        <v>1065</v>
      </c>
      <c r="H266">
        <v>634.46</v>
      </c>
      <c r="I266">
        <v>3</v>
      </c>
      <c r="J266">
        <v>0</v>
      </c>
      <c r="K266">
        <v>183.95</v>
      </c>
      <c r="L266" t="s">
        <v>1290</v>
      </c>
      <c r="M266" s="6">
        <f t="shared" si="9"/>
        <v>0.28993159537244267</v>
      </c>
      <c r="N266" s="6" t="str" cm="1">
        <f t="array" ref="N266">_xlfn.IFS('Data Cleaning &amp; Transf'!H266&lt;500,"LOW",AND('Data Cleaning &amp; Transf'!H266 &gt;500,'Data Cleaning &amp; Transf'!H266&lt;1000),"Medium",'Data Cleaning &amp; Transf'!H266&gt;1000,"High")</f>
        <v>Medium</v>
      </c>
    </row>
    <row r="267" spans="1:14" x14ac:dyDescent="0.3">
      <c r="A267" t="s">
        <v>276</v>
      </c>
      <c r="B267" s="2" t="s">
        <v>583</v>
      </c>
      <c r="C267" s="9" t="str">
        <f t="shared" si="8"/>
        <v>04-2023</v>
      </c>
      <c r="D267" t="s">
        <v>785</v>
      </c>
      <c r="E267" t="s">
        <v>788</v>
      </c>
      <c r="F267" t="s">
        <v>795</v>
      </c>
      <c r="G267" t="s">
        <v>1014</v>
      </c>
      <c r="H267">
        <v>910.04</v>
      </c>
      <c r="I267">
        <v>1</v>
      </c>
      <c r="J267">
        <v>0</v>
      </c>
      <c r="K267">
        <v>111.94</v>
      </c>
      <c r="L267" t="s">
        <v>1291</v>
      </c>
      <c r="M267" s="6">
        <f t="shared" si="9"/>
        <v>0.12300558217221222</v>
      </c>
      <c r="N267" s="6" t="str" cm="1">
        <f t="array" ref="N267">_xlfn.IFS('Data Cleaning &amp; Transf'!H267&lt;500,"LOW",AND('Data Cleaning &amp; Transf'!H267 &gt;500,'Data Cleaning &amp; Transf'!H267&lt;1000),"Medium",'Data Cleaning &amp; Transf'!H267&gt;1000,"High")</f>
        <v>Medium</v>
      </c>
    </row>
    <row r="268" spans="1:14" x14ac:dyDescent="0.3">
      <c r="A268" t="s">
        <v>277</v>
      </c>
      <c r="B268" s="2" t="s">
        <v>660</v>
      </c>
      <c r="C268" s="9" t="str">
        <f t="shared" si="8"/>
        <v>10-2023</v>
      </c>
      <c r="D268" t="s">
        <v>786</v>
      </c>
      <c r="E268" t="s">
        <v>788</v>
      </c>
      <c r="F268" t="s">
        <v>791</v>
      </c>
      <c r="G268" t="s">
        <v>1066</v>
      </c>
      <c r="H268">
        <v>536.61</v>
      </c>
      <c r="I268">
        <v>5</v>
      </c>
      <c r="J268">
        <v>0.2</v>
      </c>
      <c r="K268">
        <v>-10.41</v>
      </c>
      <c r="L268" t="s">
        <v>1290</v>
      </c>
      <c r="M268" s="6">
        <f t="shared" si="9"/>
        <v>-1.9399563929110526E-2</v>
      </c>
      <c r="N268" s="6" t="str" cm="1">
        <f t="array" ref="N268">_xlfn.IFS('Data Cleaning &amp; Transf'!H268&lt;500,"LOW",AND('Data Cleaning &amp; Transf'!H268 &gt;500,'Data Cleaning &amp; Transf'!H268&lt;1000),"Medium",'Data Cleaning &amp; Transf'!H268&gt;1000,"High")</f>
        <v>Medium</v>
      </c>
    </row>
    <row r="269" spans="1:14" x14ac:dyDescent="0.3">
      <c r="A269" t="s">
        <v>278</v>
      </c>
      <c r="B269" s="2" t="s">
        <v>658</v>
      </c>
      <c r="C269" s="9" t="str">
        <f t="shared" si="8"/>
        <v>01-2023</v>
      </c>
      <c r="D269" t="s">
        <v>786</v>
      </c>
      <c r="E269" t="s">
        <v>788</v>
      </c>
      <c r="F269" t="s">
        <v>796</v>
      </c>
      <c r="G269" t="s">
        <v>1067</v>
      </c>
      <c r="H269">
        <v>390.82</v>
      </c>
      <c r="I269">
        <v>5</v>
      </c>
      <c r="J269">
        <v>0</v>
      </c>
      <c r="K269">
        <v>49.1</v>
      </c>
      <c r="L269" t="s">
        <v>1290</v>
      </c>
      <c r="M269" s="6">
        <f t="shared" si="9"/>
        <v>0.12563328386469474</v>
      </c>
      <c r="N269" s="6" t="str" cm="1">
        <f t="array" ref="N269">_xlfn.IFS('Data Cleaning &amp; Transf'!H269&lt;500,"LOW",AND('Data Cleaning &amp; Transf'!H269 &gt;500,'Data Cleaning &amp; Transf'!H269&lt;1000),"Medium",'Data Cleaning &amp; Transf'!H269&gt;1000,"High")</f>
        <v>LOW</v>
      </c>
    </row>
    <row r="270" spans="1:14" x14ac:dyDescent="0.3">
      <c r="A270" t="s">
        <v>279</v>
      </c>
      <c r="B270" s="2" t="s">
        <v>696</v>
      </c>
      <c r="C270" s="9" t="str">
        <f t="shared" si="8"/>
        <v>01-2023</v>
      </c>
      <c r="D270" t="s">
        <v>786</v>
      </c>
      <c r="E270" t="s">
        <v>788</v>
      </c>
      <c r="F270" t="s">
        <v>793</v>
      </c>
      <c r="G270" t="s">
        <v>1068</v>
      </c>
      <c r="H270">
        <v>1102.27</v>
      </c>
      <c r="I270">
        <v>7</v>
      </c>
      <c r="J270">
        <v>0.05</v>
      </c>
      <c r="K270">
        <v>50.21</v>
      </c>
      <c r="L270" t="s">
        <v>1289</v>
      </c>
      <c r="M270" s="6">
        <f t="shared" si="9"/>
        <v>4.5551452910811328E-2</v>
      </c>
      <c r="N270" s="6" t="str" cm="1">
        <f t="array" ref="N270">_xlfn.IFS('Data Cleaning &amp; Transf'!H270&lt;500,"LOW",AND('Data Cleaning &amp; Transf'!H270 &gt;500,'Data Cleaning &amp; Transf'!H270&lt;1000),"Medium",'Data Cleaning &amp; Transf'!H270&gt;1000,"High")</f>
        <v>High</v>
      </c>
    </row>
    <row r="271" spans="1:14" x14ac:dyDescent="0.3">
      <c r="A271" t="s">
        <v>280</v>
      </c>
      <c r="B271" s="2" t="s">
        <v>697</v>
      </c>
      <c r="C271" s="9" t="str">
        <f t="shared" si="8"/>
        <v>09-2023</v>
      </c>
      <c r="D271" t="s">
        <v>783</v>
      </c>
      <c r="E271" t="s">
        <v>787</v>
      </c>
      <c r="F271" t="s">
        <v>790</v>
      </c>
      <c r="G271" t="s">
        <v>1069</v>
      </c>
      <c r="H271">
        <v>1379.51</v>
      </c>
      <c r="I271">
        <v>1</v>
      </c>
      <c r="J271">
        <v>0</v>
      </c>
      <c r="K271">
        <v>248.21</v>
      </c>
      <c r="L271" t="s">
        <v>1290</v>
      </c>
      <c r="M271" s="6">
        <f t="shared" si="9"/>
        <v>0.17992620568172757</v>
      </c>
      <c r="N271" s="6" t="str" cm="1">
        <f t="array" ref="N271">_xlfn.IFS('Data Cleaning &amp; Transf'!H271&lt;500,"LOW",AND('Data Cleaning &amp; Transf'!H271 &gt;500,'Data Cleaning &amp; Transf'!H271&lt;1000),"Medium",'Data Cleaning &amp; Transf'!H271&gt;1000,"High")</f>
        <v>High</v>
      </c>
    </row>
    <row r="272" spans="1:14" x14ac:dyDescent="0.3">
      <c r="A272" t="s">
        <v>281</v>
      </c>
      <c r="B272" s="2" t="s">
        <v>698</v>
      </c>
      <c r="C272" s="9" t="str">
        <f t="shared" si="8"/>
        <v>07-2023</v>
      </c>
      <c r="D272" t="s">
        <v>786</v>
      </c>
      <c r="E272" t="s">
        <v>789</v>
      </c>
      <c r="F272" t="s">
        <v>798</v>
      </c>
      <c r="G272" t="s">
        <v>1070</v>
      </c>
      <c r="H272">
        <v>1018.89</v>
      </c>
      <c r="I272">
        <v>2</v>
      </c>
      <c r="J272">
        <v>0.15</v>
      </c>
      <c r="K272">
        <v>-95.74</v>
      </c>
      <c r="L272" t="s">
        <v>1291</v>
      </c>
      <c r="M272" s="6">
        <f t="shared" si="9"/>
        <v>-9.396500112867924E-2</v>
      </c>
      <c r="N272" s="6" t="str" cm="1">
        <f t="array" ref="N272">_xlfn.IFS('Data Cleaning &amp; Transf'!H272&lt;500,"LOW",AND('Data Cleaning &amp; Transf'!H272 &gt;500,'Data Cleaning &amp; Transf'!H272&lt;1000),"Medium",'Data Cleaning &amp; Transf'!H272&gt;1000,"High")</f>
        <v>High</v>
      </c>
    </row>
    <row r="273" spans="1:14" x14ac:dyDescent="0.3">
      <c r="A273" t="s">
        <v>282</v>
      </c>
      <c r="B273" s="2" t="s">
        <v>517</v>
      </c>
      <c r="C273" s="9" t="str">
        <f t="shared" si="8"/>
        <v>07-2023</v>
      </c>
      <c r="D273" t="s">
        <v>786</v>
      </c>
      <c r="E273" t="s">
        <v>787</v>
      </c>
      <c r="F273" t="s">
        <v>800</v>
      </c>
      <c r="G273" t="s">
        <v>1071</v>
      </c>
      <c r="H273">
        <v>1391.85</v>
      </c>
      <c r="I273">
        <v>9</v>
      </c>
      <c r="J273">
        <v>0.2</v>
      </c>
      <c r="K273">
        <v>-2.48</v>
      </c>
      <c r="L273" t="s">
        <v>1290</v>
      </c>
      <c r="M273" s="6">
        <f t="shared" si="9"/>
        <v>-1.781801199841937E-3</v>
      </c>
      <c r="N273" s="6" t="str" cm="1">
        <f t="array" ref="N273">_xlfn.IFS('Data Cleaning &amp; Transf'!H273&lt;500,"LOW",AND('Data Cleaning &amp; Transf'!H273 &gt;500,'Data Cleaning &amp; Transf'!H273&lt;1000),"Medium",'Data Cleaning &amp; Transf'!H273&gt;1000,"High")</f>
        <v>High</v>
      </c>
    </row>
    <row r="274" spans="1:14" x14ac:dyDescent="0.3">
      <c r="A274" t="s">
        <v>283</v>
      </c>
      <c r="B274" s="2" t="s">
        <v>620</v>
      </c>
      <c r="C274" s="9" t="str">
        <f t="shared" si="8"/>
        <v>02-2023</v>
      </c>
      <c r="D274" t="s">
        <v>786</v>
      </c>
      <c r="E274" t="s">
        <v>789</v>
      </c>
      <c r="F274" t="s">
        <v>798</v>
      </c>
      <c r="G274" t="s">
        <v>1072</v>
      </c>
      <c r="H274">
        <v>1408.5</v>
      </c>
      <c r="I274">
        <v>7</v>
      </c>
      <c r="J274">
        <v>0</v>
      </c>
      <c r="K274">
        <v>225</v>
      </c>
      <c r="L274" t="s">
        <v>1291</v>
      </c>
      <c r="M274" s="6">
        <f t="shared" si="9"/>
        <v>0.15974440894568689</v>
      </c>
      <c r="N274" s="6" t="str" cm="1">
        <f t="array" ref="N274">_xlfn.IFS('Data Cleaning &amp; Transf'!H274&lt;500,"LOW",AND('Data Cleaning &amp; Transf'!H274 &gt;500,'Data Cleaning &amp; Transf'!H274&lt;1000),"Medium",'Data Cleaning &amp; Transf'!H274&gt;1000,"High")</f>
        <v>High</v>
      </c>
    </row>
    <row r="275" spans="1:14" x14ac:dyDescent="0.3">
      <c r="A275" t="s">
        <v>284</v>
      </c>
      <c r="B275" s="2" t="s">
        <v>564</v>
      </c>
      <c r="C275" s="9" t="str">
        <f t="shared" si="8"/>
        <v>08-2023</v>
      </c>
      <c r="D275" t="s">
        <v>784</v>
      </c>
      <c r="E275" t="s">
        <v>788</v>
      </c>
      <c r="F275" t="s">
        <v>795</v>
      </c>
      <c r="G275" t="s">
        <v>1073</v>
      </c>
      <c r="H275">
        <v>229.58</v>
      </c>
      <c r="I275">
        <v>1</v>
      </c>
      <c r="J275">
        <v>0.1</v>
      </c>
      <c r="K275">
        <v>0.86</v>
      </c>
      <c r="L275" t="s">
        <v>1290</v>
      </c>
      <c r="M275" s="6">
        <f t="shared" si="9"/>
        <v>3.7459709033887969E-3</v>
      </c>
      <c r="N275" s="6" t="str" cm="1">
        <f t="array" ref="N275">_xlfn.IFS('Data Cleaning &amp; Transf'!H275&lt;500,"LOW",AND('Data Cleaning &amp; Transf'!H275 &gt;500,'Data Cleaning &amp; Transf'!H275&lt;1000),"Medium",'Data Cleaning &amp; Transf'!H275&gt;1000,"High")</f>
        <v>LOW</v>
      </c>
    </row>
    <row r="276" spans="1:14" x14ac:dyDescent="0.3">
      <c r="A276" t="s">
        <v>285</v>
      </c>
      <c r="B276" s="2" t="s">
        <v>631</v>
      </c>
      <c r="C276" s="9" t="str">
        <f t="shared" si="8"/>
        <v>01-2023</v>
      </c>
      <c r="D276" t="s">
        <v>785</v>
      </c>
      <c r="E276" t="s">
        <v>788</v>
      </c>
      <c r="F276" t="s">
        <v>791</v>
      </c>
      <c r="G276" t="s">
        <v>1074</v>
      </c>
      <c r="H276">
        <v>1875.93</v>
      </c>
      <c r="I276">
        <v>4</v>
      </c>
      <c r="J276">
        <v>0</v>
      </c>
      <c r="K276">
        <v>107.38</v>
      </c>
      <c r="L276" t="s">
        <v>1290</v>
      </c>
      <c r="M276" s="6">
        <f t="shared" si="9"/>
        <v>5.7240941826187539E-2</v>
      </c>
      <c r="N276" s="6" t="str" cm="1">
        <f t="array" ref="N276">_xlfn.IFS('Data Cleaning &amp; Transf'!H276&lt;500,"LOW",AND('Data Cleaning &amp; Transf'!H276 &gt;500,'Data Cleaning &amp; Transf'!H276&lt;1000),"Medium",'Data Cleaning &amp; Transf'!H276&gt;1000,"High")</f>
        <v>High</v>
      </c>
    </row>
    <row r="277" spans="1:14" x14ac:dyDescent="0.3">
      <c r="A277" t="s">
        <v>286</v>
      </c>
      <c r="B277" s="2" t="s">
        <v>699</v>
      </c>
      <c r="C277" s="9" t="str">
        <f t="shared" si="8"/>
        <v>06-2023</v>
      </c>
      <c r="D277" t="s">
        <v>786</v>
      </c>
      <c r="E277" t="s">
        <v>789</v>
      </c>
      <c r="F277" t="s">
        <v>799</v>
      </c>
      <c r="G277" t="s">
        <v>1075</v>
      </c>
      <c r="H277">
        <v>1546.89</v>
      </c>
      <c r="I277">
        <v>10</v>
      </c>
      <c r="J277">
        <v>0.2</v>
      </c>
      <c r="K277">
        <v>-46.37</v>
      </c>
      <c r="L277" t="s">
        <v>1289</v>
      </c>
      <c r="M277" s="6">
        <f t="shared" si="9"/>
        <v>-2.9976274977535567E-2</v>
      </c>
      <c r="N277" s="6" t="str" cm="1">
        <f t="array" ref="N277">_xlfn.IFS('Data Cleaning &amp; Transf'!H277&lt;500,"LOW",AND('Data Cleaning &amp; Transf'!H277 &gt;500,'Data Cleaning &amp; Transf'!H277&lt;1000),"Medium",'Data Cleaning &amp; Transf'!H277&gt;1000,"High")</f>
        <v>High</v>
      </c>
    </row>
    <row r="278" spans="1:14" x14ac:dyDescent="0.3">
      <c r="A278" t="s">
        <v>287</v>
      </c>
      <c r="B278" s="2" t="s">
        <v>610</v>
      </c>
      <c r="C278" s="9" t="str">
        <f t="shared" si="8"/>
        <v>05-2023</v>
      </c>
      <c r="D278" t="s">
        <v>783</v>
      </c>
      <c r="E278" t="s">
        <v>787</v>
      </c>
      <c r="F278" t="s">
        <v>790</v>
      </c>
      <c r="G278" t="s">
        <v>1076</v>
      </c>
      <c r="H278">
        <v>358.37</v>
      </c>
      <c r="I278">
        <v>7</v>
      </c>
      <c r="J278">
        <v>0.1</v>
      </c>
      <c r="K278">
        <v>16.64</v>
      </c>
      <c r="L278" t="s">
        <v>1291</v>
      </c>
      <c r="M278" s="6">
        <f t="shared" si="9"/>
        <v>4.6432458074057541E-2</v>
      </c>
      <c r="N278" s="6" t="str" cm="1">
        <f t="array" ref="N278">_xlfn.IFS('Data Cleaning &amp; Transf'!H278&lt;500,"LOW",AND('Data Cleaning &amp; Transf'!H278 &gt;500,'Data Cleaning &amp; Transf'!H278&lt;1000),"Medium",'Data Cleaning &amp; Transf'!H278&gt;1000,"High")</f>
        <v>LOW</v>
      </c>
    </row>
    <row r="279" spans="1:14" x14ac:dyDescent="0.3">
      <c r="A279" t="s">
        <v>288</v>
      </c>
      <c r="B279" s="2" t="s">
        <v>692</v>
      </c>
      <c r="C279" s="9" t="str">
        <f t="shared" si="8"/>
        <v>12-2023</v>
      </c>
      <c r="D279" t="s">
        <v>786</v>
      </c>
      <c r="E279" t="s">
        <v>787</v>
      </c>
      <c r="F279" t="s">
        <v>800</v>
      </c>
      <c r="G279" t="s">
        <v>1077</v>
      </c>
      <c r="H279">
        <v>1119.1099999999999</v>
      </c>
      <c r="I279">
        <v>3</v>
      </c>
      <c r="J279">
        <v>0</v>
      </c>
      <c r="K279">
        <v>319.02</v>
      </c>
      <c r="L279" t="s">
        <v>1289</v>
      </c>
      <c r="M279" s="6">
        <f t="shared" si="9"/>
        <v>0.28506581122499131</v>
      </c>
      <c r="N279" s="6" t="str" cm="1">
        <f t="array" ref="N279">_xlfn.IFS('Data Cleaning &amp; Transf'!H279&lt;500,"LOW",AND('Data Cleaning &amp; Transf'!H279 &gt;500,'Data Cleaning &amp; Transf'!H279&lt;1000),"Medium",'Data Cleaning &amp; Transf'!H279&gt;1000,"High")</f>
        <v>High</v>
      </c>
    </row>
    <row r="280" spans="1:14" x14ac:dyDescent="0.3">
      <c r="A280" t="s">
        <v>289</v>
      </c>
      <c r="B280" s="2" t="s">
        <v>700</v>
      </c>
      <c r="C280" s="9" t="str">
        <f t="shared" si="8"/>
        <v>07-2023</v>
      </c>
      <c r="D280" t="s">
        <v>783</v>
      </c>
      <c r="E280" t="s">
        <v>788</v>
      </c>
      <c r="F280" t="s">
        <v>791</v>
      </c>
      <c r="G280" t="s">
        <v>1078</v>
      </c>
      <c r="H280">
        <v>856.21</v>
      </c>
      <c r="I280">
        <v>4</v>
      </c>
      <c r="J280">
        <v>0.1</v>
      </c>
      <c r="K280">
        <v>-24.59</v>
      </c>
      <c r="L280" t="s">
        <v>1290</v>
      </c>
      <c r="M280" s="6">
        <f t="shared" si="9"/>
        <v>-2.8719589820254375E-2</v>
      </c>
      <c r="N280" s="6" t="str" cm="1">
        <f t="array" ref="N280">_xlfn.IFS('Data Cleaning &amp; Transf'!H280&lt;500,"LOW",AND('Data Cleaning &amp; Transf'!H280 &gt;500,'Data Cleaning &amp; Transf'!H280&lt;1000),"Medium",'Data Cleaning &amp; Transf'!H280&gt;1000,"High")</f>
        <v>Medium</v>
      </c>
    </row>
    <row r="281" spans="1:14" x14ac:dyDescent="0.3">
      <c r="A281" t="s">
        <v>290</v>
      </c>
      <c r="B281" s="2" t="s">
        <v>592</v>
      </c>
      <c r="C281" s="9" t="str">
        <f t="shared" si="8"/>
        <v>07-2023</v>
      </c>
      <c r="D281" t="s">
        <v>784</v>
      </c>
      <c r="E281" t="s">
        <v>789</v>
      </c>
      <c r="F281" t="s">
        <v>798</v>
      </c>
      <c r="G281" t="s">
        <v>1079</v>
      </c>
      <c r="H281">
        <v>1351.04</v>
      </c>
      <c r="I281">
        <v>7</v>
      </c>
      <c r="J281">
        <v>0.1</v>
      </c>
      <c r="K281">
        <v>-60.74</v>
      </c>
      <c r="L281" t="s">
        <v>1291</v>
      </c>
      <c r="M281" s="6">
        <f t="shared" si="9"/>
        <v>-4.4957958313595454E-2</v>
      </c>
      <c r="N281" s="6" t="str" cm="1">
        <f t="array" ref="N281">_xlfn.IFS('Data Cleaning &amp; Transf'!H281&lt;500,"LOW",AND('Data Cleaning &amp; Transf'!H281 &gt;500,'Data Cleaning &amp; Transf'!H281&lt;1000),"Medium",'Data Cleaning &amp; Transf'!H281&gt;1000,"High")</f>
        <v>High</v>
      </c>
    </row>
    <row r="282" spans="1:14" x14ac:dyDescent="0.3">
      <c r="A282" t="s">
        <v>291</v>
      </c>
      <c r="B282" s="2" t="s">
        <v>701</v>
      </c>
      <c r="C282" s="9" t="str">
        <f t="shared" si="8"/>
        <v>01-2023</v>
      </c>
      <c r="D282" t="s">
        <v>783</v>
      </c>
      <c r="E282" t="s">
        <v>788</v>
      </c>
      <c r="F282" t="s">
        <v>793</v>
      </c>
      <c r="G282" t="s">
        <v>1080</v>
      </c>
      <c r="H282">
        <v>1430.66</v>
      </c>
      <c r="I282">
        <v>5</v>
      </c>
      <c r="J282">
        <v>0.15</v>
      </c>
      <c r="K282">
        <v>204.84</v>
      </c>
      <c r="L282" t="s">
        <v>1291</v>
      </c>
      <c r="M282" s="6">
        <f t="shared" si="9"/>
        <v>0.14317867278039506</v>
      </c>
      <c r="N282" s="6" t="str" cm="1">
        <f t="array" ref="N282">_xlfn.IFS('Data Cleaning &amp; Transf'!H282&lt;500,"LOW",AND('Data Cleaning &amp; Transf'!H282 &gt;500,'Data Cleaning &amp; Transf'!H282&lt;1000),"Medium",'Data Cleaning &amp; Transf'!H282&gt;1000,"High")</f>
        <v>High</v>
      </c>
    </row>
    <row r="283" spans="1:14" x14ac:dyDescent="0.3">
      <c r="A283" t="s">
        <v>292</v>
      </c>
      <c r="B283" s="2" t="s">
        <v>626</v>
      </c>
      <c r="C283" s="9" t="str">
        <f t="shared" si="8"/>
        <v>08-2023</v>
      </c>
      <c r="D283" t="s">
        <v>786</v>
      </c>
      <c r="E283" t="s">
        <v>789</v>
      </c>
      <c r="F283" t="s">
        <v>794</v>
      </c>
      <c r="G283" t="s">
        <v>1081</v>
      </c>
      <c r="H283">
        <v>887.56</v>
      </c>
      <c r="I283">
        <v>10</v>
      </c>
      <c r="J283">
        <v>0.05</v>
      </c>
      <c r="K283">
        <v>98.22</v>
      </c>
      <c r="L283" t="s">
        <v>1289</v>
      </c>
      <c r="M283" s="6">
        <f t="shared" si="9"/>
        <v>0.11066294109693993</v>
      </c>
      <c r="N283" s="6" t="str" cm="1">
        <f t="array" ref="N283">_xlfn.IFS('Data Cleaning &amp; Transf'!H283&lt;500,"LOW",AND('Data Cleaning &amp; Transf'!H283 &gt;500,'Data Cleaning &amp; Transf'!H283&lt;1000),"Medium",'Data Cleaning &amp; Transf'!H283&gt;1000,"High")</f>
        <v>Medium</v>
      </c>
    </row>
    <row r="284" spans="1:14" x14ac:dyDescent="0.3">
      <c r="A284" t="s">
        <v>293</v>
      </c>
      <c r="B284" s="2" t="s">
        <v>702</v>
      </c>
      <c r="C284" s="9" t="str">
        <f t="shared" si="8"/>
        <v>03-2023</v>
      </c>
      <c r="D284" t="s">
        <v>783</v>
      </c>
      <c r="E284" t="s">
        <v>788</v>
      </c>
      <c r="F284" t="s">
        <v>791</v>
      </c>
      <c r="G284" t="s">
        <v>1082</v>
      </c>
      <c r="H284">
        <v>229.47</v>
      </c>
      <c r="I284">
        <v>3</v>
      </c>
      <c r="J284">
        <v>0</v>
      </c>
      <c r="K284">
        <v>12.56</v>
      </c>
      <c r="L284" t="s">
        <v>1291</v>
      </c>
      <c r="M284" s="6">
        <f t="shared" si="9"/>
        <v>5.4734823724234105E-2</v>
      </c>
      <c r="N284" s="6" t="str" cm="1">
        <f t="array" ref="N284">_xlfn.IFS('Data Cleaning &amp; Transf'!H284&lt;500,"LOW",AND('Data Cleaning &amp; Transf'!H284 &gt;500,'Data Cleaning &amp; Transf'!H284&lt;1000),"Medium",'Data Cleaning &amp; Transf'!H284&gt;1000,"High")</f>
        <v>LOW</v>
      </c>
    </row>
    <row r="285" spans="1:14" x14ac:dyDescent="0.3">
      <c r="A285" t="s">
        <v>294</v>
      </c>
      <c r="B285" s="2" t="s">
        <v>703</v>
      </c>
      <c r="C285" s="9" t="str">
        <f t="shared" si="8"/>
        <v>02-2023</v>
      </c>
      <c r="D285" t="s">
        <v>785</v>
      </c>
      <c r="E285" t="s">
        <v>789</v>
      </c>
      <c r="F285" t="s">
        <v>794</v>
      </c>
      <c r="G285" t="s">
        <v>1083</v>
      </c>
      <c r="H285">
        <v>186.28</v>
      </c>
      <c r="I285">
        <v>1</v>
      </c>
      <c r="J285">
        <v>0.2</v>
      </c>
      <c r="K285">
        <v>-8.16</v>
      </c>
      <c r="L285" t="s">
        <v>1291</v>
      </c>
      <c r="M285" s="6">
        <f t="shared" si="9"/>
        <v>-4.3805024694009022E-2</v>
      </c>
      <c r="N285" s="6" t="str" cm="1">
        <f t="array" ref="N285">_xlfn.IFS('Data Cleaning &amp; Transf'!H285&lt;500,"LOW",AND('Data Cleaning &amp; Transf'!H285 &gt;500,'Data Cleaning &amp; Transf'!H285&lt;1000),"Medium",'Data Cleaning &amp; Transf'!H285&gt;1000,"High")</f>
        <v>LOW</v>
      </c>
    </row>
    <row r="286" spans="1:14" x14ac:dyDescent="0.3">
      <c r="A286" t="s">
        <v>295</v>
      </c>
      <c r="B286" s="2" t="s">
        <v>583</v>
      </c>
      <c r="C286" s="9" t="str">
        <f t="shared" si="8"/>
        <v>04-2023</v>
      </c>
      <c r="D286" t="s">
        <v>783</v>
      </c>
      <c r="E286" t="s">
        <v>787</v>
      </c>
      <c r="F286" t="s">
        <v>792</v>
      </c>
      <c r="G286" t="s">
        <v>1084</v>
      </c>
      <c r="H286">
        <v>1310.23</v>
      </c>
      <c r="I286">
        <v>7</v>
      </c>
      <c r="J286">
        <v>0.1</v>
      </c>
      <c r="K286">
        <v>240.98</v>
      </c>
      <c r="L286" t="s">
        <v>1290</v>
      </c>
      <c r="M286" s="6">
        <f t="shared" si="9"/>
        <v>0.18392190684078366</v>
      </c>
      <c r="N286" s="6" t="str" cm="1">
        <f t="array" ref="N286">_xlfn.IFS('Data Cleaning &amp; Transf'!H286&lt;500,"LOW",AND('Data Cleaning &amp; Transf'!H286 &gt;500,'Data Cleaning &amp; Transf'!H286&lt;1000),"Medium",'Data Cleaning &amp; Transf'!H286&gt;1000,"High")</f>
        <v>High</v>
      </c>
    </row>
    <row r="287" spans="1:14" x14ac:dyDescent="0.3">
      <c r="A287" t="s">
        <v>296</v>
      </c>
      <c r="B287" s="2" t="s">
        <v>664</v>
      </c>
      <c r="C287" s="9" t="str">
        <f t="shared" si="8"/>
        <v>06-2023</v>
      </c>
      <c r="D287" t="s">
        <v>785</v>
      </c>
      <c r="E287" t="s">
        <v>788</v>
      </c>
      <c r="F287" t="s">
        <v>796</v>
      </c>
      <c r="G287" t="s">
        <v>1085</v>
      </c>
      <c r="H287">
        <v>1603.58</v>
      </c>
      <c r="I287">
        <v>8</v>
      </c>
      <c r="J287">
        <v>0</v>
      </c>
      <c r="K287">
        <v>168.83</v>
      </c>
      <c r="L287" t="s">
        <v>1289</v>
      </c>
      <c r="M287" s="6">
        <f t="shared" si="9"/>
        <v>0.10528317888723981</v>
      </c>
      <c r="N287" s="6" t="str" cm="1">
        <f t="array" ref="N287">_xlfn.IFS('Data Cleaning &amp; Transf'!H287&lt;500,"LOW",AND('Data Cleaning &amp; Transf'!H287 &gt;500,'Data Cleaning &amp; Transf'!H287&lt;1000),"Medium",'Data Cleaning &amp; Transf'!H287&gt;1000,"High")</f>
        <v>High</v>
      </c>
    </row>
    <row r="288" spans="1:14" x14ac:dyDescent="0.3">
      <c r="A288" t="s">
        <v>297</v>
      </c>
      <c r="B288" s="2" t="s">
        <v>704</v>
      </c>
      <c r="C288" s="9" t="str">
        <f t="shared" si="8"/>
        <v>06-2023</v>
      </c>
      <c r="D288" t="s">
        <v>784</v>
      </c>
      <c r="E288" t="s">
        <v>789</v>
      </c>
      <c r="F288" t="s">
        <v>797</v>
      </c>
      <c r="G288" t="s">
        <v>1086</v>
      </c>
      <c r="H288">
        <v>894.81</v>
      </c>
      <c r="I288">
        <v>10</v>
      </c>
      <c r="J288">
        <v>0.1</v>
      </c>
      <c r="K288">
        <v>165.56</v>
      </c>
      <c r="L288" t="s">
        <v>1291</v>
      </c>
      <c r="M288" s="6">
        <f t="shared" si="9"/>
        <v>0.18502251874699657</v>
      </c>
      <c r="N288" s="6" t="str" cm="1">
        <f t="array" ref="N288">_xlfn.IFS('Data Cleaning &amp; Transf'!H288&lt;500,"LOW",AND('Data Cleaning &amp; Transf'!H288 &gt;500,'Data Cleaning &amp; Transf'!H288&lt;1000),"Medium",'Data Cleaning &amp; Transf'!H288&gt;1000,"High")</f>
        <v>Medium</v>
      </c>
    </row>
    <row r="289" spans="1:14" x14ac:dyDescent="0.3">
      <c r="A289" t="s">
        <v>298</v>
      </c>
      <c r="B289" s="2" t="s">
        <v>705</v>
      </c>
      <c r="C289" s="9" t="str">
        <f t="shared" si="8"/>
        <v>04-2023</v>
      </c>
      <c r="D289" t="s">
        <v>785</v>
      </c>
      <c r="E289" t="s">
        <v>789</v>
      </c>
      <c r="F289" t="s">
        <v>798</v>
      </c>
      <c r="G289" t="s">
        <v>1087</v>
      </c>
      <c r="H289">
        <v>308.42</v>
      </c>
      <c r="I289">
        <v>6</v>
      </c>
      <c r="J289">
        <v>0.05</v>
      </c>
      <c r="K289">
        <v>40.96</v>
      </c>
      <c r="L289" t="s">
        <v>1291</v>
      </c>
      <c r="M289" s="6">
        <f t="shared" si="9"/>
        <v>0.13280591401335839</v>
      </c>
      <c r="N289" s="6" t="str" cm="1">
        <f t="array" ref="N289">_xlfn.IFS('Data Cleaning &amp; Transf'!H289&lt;500,"LOW",AND('Data Cleaning &amp; Transf'!H289 &gt;500,'Data Cleaning &amp; Transf'!H289&lt;1000),"Medium",'Data Cleaning &amp; Transf'!H289&gt;1000,"High")</f>
        <v>LOW</v>
      </c>
    </row>
    <row r="290" spans="1:14" x14ac:dyDescent="0.3">
      <c r="A290" t="s">
        <v>299</v>
      </c>
      <c r="B290" s="2" t="s">
        <v>664</v>
      </c>
      <c r="C290" s="9" t="str">
        <f t="shared" si="8"/>
        <v>06-2023</v>
      </c>
      <c r="D290" t="s">
        <v>785</v>
      </c>
      <c r="E290" t="s">
        <v>788</v>
      </c>
      <c r="F290" t="s">
        <v>793</v>
      </c>
      <c r="G290" t="s">
        <v>1088</v>
      </c>
      <c r="H290">
        <v>557.88</v>
      </c>
      <c r="I290">
        <v>6</v>
      </c>
      <c r="J290">
        <v>0</v>
      </c>
      <c r="K290">
        <v>86.01</v>
      </c>
      <c r="L290" t="s">
        <v>1289</v>
      </c>
      <c r="M290" s="6">
        <f t="shared" si="9"/>
        <v>0.15417294041729404</v>
      </c>
      <c r="N290" s="6" t="str" cm="1">
        <f t="array" ref="N290">_xlfn.IFS('Data Cleaning &amp; Transf'!H290&lt;500,"LOW",AND('Data Cleaning &amp; Transf'!H290 &gt;500,'Data Cleaning &amp; Transf'!H290&lt;1000),"Medium",'Data Cleaning &amp; Transf'!H290&gt;1000,"High")</f>
        <v>Medium</v>
      </c>
    </row>
    <row r="291" spans="1:14" x14ac:dyDescent="0.3">
      <c r="A291" t="s">
        <v>300</v>
      </c>
      <c r="B291" s="2" t="s">
        <v>706</v>
      </c>
      <c r="C291" s="9" t="str">
        <f t="shared" si="8"/>
        <v>08-2023</v>
      </c>
      <c r="D291" t="s">
        <v>786</v>
      </c>
      <c r="E291" t="s">
        <v>788</v>
      </c>
      <c r="F291" t="s">
        <v>793</v>
      </c>
      <c r="G291" t="s">
        <v>1089</v>
      </c>
      <c r="H291">
        <v>1149.3499999999999</v>
      </c>
      <c r="I291">
        <v>4</v>
      </c>
      <c r="J291">
        <v>0.2</v>
      </c>
      <c r="K291">
        <v>-155.80000000000001</v>
      </c>
      <c r="L291" t="s">
        <v>1289</v>
      </c>
      <c r="M291" s="6">
        <f t="shared" si="9"/>
        <v>-0.13555487884456435</v>
      </c>
      <c r="N291" s="6" t="str" cm="1">
        <f t="array" ref="N291">_xlfn.IFS('Data Cleaning &amp; Transf'!H291&lt;500,"LOW",AND('Data Cleaning &amp; Transf'!H291 &gt;500,'Data Cleaning &amp; Transf'!H291&lt;1000),"Medium",'Data Cleaning &amp; Transf'!H291&gt;1000,"High")</f>
        <v>High</v>
      </c>
    </row>
    <row r="292" spans="1:14" x14ac:dyDescent="0.3">
      <c r="A292" t="s">
        <v>301</v>
      </c>
      <c r="B292" s="2" t="s">
        <v>687</v>
      </c>
      <c r="C292" s="9" t="str">
        <f t="shared" si="8"/>
        <v>06-2023</v>
      </c>
      <c r="D292" t="s">
        <v>783</v>
      </c>
      <c r="E292" t="s">
        <v>788</v>
      </c>
      <c r="F292" t="s">
        <v>793</v>
      </c>
      <c r="G292" t="s">
        <v>1090</v>
      </c>
      <c r="H292">
        <v>1526.21</v>
      </c>
      <c r="I292">
        <v>2</v>
      </c>
      <c r="J292">
        <v>0</v>
      </c>
      <c r="K292">
        <v>356.44</v>
      </c>
      <c r="L292" t="s">
        <v>1290</v>
      </c>
      <c r="M292" s="6">
        <f t="shared" si="9"/>
        <v>0.2335458423152777</v>
      </c>
      <c r="N292" s="6" t="str" cm="1">
        <f t="array" ref="N292">_xlfn.IFS('Data Cleaning &amp; Transf'!H292&lt;500,"LOW",AND('Data Cleaning &amp; Transf'!H292 &gt;500,'Data Cleaning &amp; Transf'!H292&lt;1000),"Medium",'Data Cleaning &amp; Transf'!H292&gt;1000,"High")</f>
        <v>High</v>
      </c>
    </row>
    <row r="293" spans="1:14" x14ac:dyDescent="0.3">
      <c r="A293" t="s">
        <v>302</v>
      </c>
      <c r="B293" s="2" t="s">
        <v>633</v>
      </c>
      <c r="C293" s="9" t="str">
        <f t="shared" si="8"/>
        <v>10-2023</v>
      </c>
      <c r="D293" t="s">
        <v>785</v>
      </c>
      <c r="E293" t="s">
        <v>788</v>
      </c>
      <c r="F293" t="s">
        <v>793</v>
      </c>
      <c r="G293" t="s">
        <v>1091</v>
      </c>
      <c r="H293">
        <v>1042.45</v>
      </c>
      <c r="I293">
        <v>3</v>
      </c>
      <c r="J293">
        <v>0.2</v>
      </c>
      <c r="K293">
        <v>103.99</v>
      </c>
      <c r="L293" t="s">
        <v>1291</v>
      </c>
      <c r="M293" s="6">
        <f t="shared" si="9"/>
        <v>9.9755383951268636E-2</v>
      </c>
      <c r="N293" s="6" t="str" cm="1">
        <f t="array" ref="N293">_xlfn.IFS('Data Cleaning &amp; Transf'!H293&lt;500,"LOW",AND('Data Cleaning &amp; Transf'!H293 &gt;500,'Data Cleaning &amp; Transf'!H293&lt;1000),"Medium",'Data Cleaning &amp; Transf'!H293&gt;1000,"High")</f>
        <v>High</v>
      </c>
    </row>
    <row r="294" spans="1:14" x14ac:dyDescent="0.3">
      <c r="A294" t="s">
        <v>303</v>
      </c>
      <c r="B294" s="2" t="s">
        <v>707</v>
      </c>
      <c r="C294" s="9" t="str">
        <f t="shared" si="8"/>
        <v>07-2023</v>
      </c>
      <c r="D294" t="s">
        <v>785</v>
      </c>
      <c r="E294" t="s">
        <v>789</v>
      </c>
      <c r="F294" t="s">
        <v>794</v>
      </c>
      <c r="G294" t="s">
        <v>1092</v>
      </c>
      <c r="H294">
        <v>1103.45</v>
      </c>
      <c r="I294">
        <v>7</v>
      </c>
      <c r="J294">
        <v>0.15</v>
      </c>
      <c r="K294">
        <v>118.93</v>
      </c>
      <c r="L294" t="s">
        <v>1289</v>
      </c>
      <c r="M294" s="6">
        <f t="shared" si="9"/>
        <v>0.10778014409352485</v>
      </c>
      <c r="N294" s="6" t="str" cm="1">
        <f t="array" ref="N294">_xlfn.IFS('Data Cleaning &amp; Transf'!H294&lt;500,"LOW",AND('Data Cleaning &amp; Transf'!H294 &gt;500,'Data Cleaning &amp; Transf'!H294&lt;1000),"Medium",'Data Cleaning &amp; Transf'!H294&gt;1000,"High")</f>
        <v>High</v>
      </c>
    </row>
    <row r="295" spans="1:14" x14ac:dyDescent="0.3">
      <c r="A295" t="s">
        <v>304</v>
      </c>
      <c r="B295" s="2" t="s">
        <v>708</v>
      </c>
      <c r="C295" s="9" t="str">
        <f t="shared" si="8"/>
        <v>11-2023</v>
      </c>
      <c r="D295" t="s">
        <v>783</v>
      </c>
      <c r="E295" t="s">
        <v>789</v>
      </c>
      <c r="F295" t="s">
        <v>794</v>
      </c>
      <c r="G295" t="s">
        <v>1093</v>
      </c>
      <c r="H295">
        <v>1770.08</v>
      </c>
      <c r="I295">
        <v>1</v>
      </c>
      <c r="J295">
        <v>0.1</v>
      </c>
      <c r="K295">
        <v>-75.55</v>
      </c>
      <c r="L295" t="s">
        <v>1291</v>
      </c>
      <c r="M295" s="6">
        <f t="shared" si="9"/>
        <v>-4.2681686703425835E-2</v>
      </c>
      <c r="N295" s="6" t="str" cm="1">
        <f t="array" ref="N295">_xlfn.IFS('Data Cleaning &amp; Transf'!H295&lt;500,"LOW",AND('Data Cleaning &amp; Transf'!H295 &gt;500,'Data Cleaning &amp; Transf'!H295&lt;1000),"Medium",'Data Cleaning &amp; Transf'!H295&gt;1000,"High")</f>
        <v>High</v>
      </c>
    </row>
    <row r="296" spans="1:14" x14ac:dyDescent="0.3">
      <c r="A296" t="s">
        <v>305</v>
      </c>
      <c r="B296" s="2" t="s">
        <v>640</v>
      </c>
      <c r="C296" s="9" t="str">
        <f t="shared" si="8"/>
        <v>02-2023</v>
      </c>
      <c r="D296" t="s">
        <v>784</v>
      </c>
      <c r="E296" t="s">
        <v>789</v>
      </c>
      <c r="F296" t="s">
        <v>794</v>
      </c>
      <c r="G296" t="s">
        <v>1094</v>
      </c>
      <c r="H296">
        <v>371.99</v>
      </c>
      <c r="I296">
        <v>9</v>
      </c>
      <c r="J296">
        <v>0.1</v>
      </c>
      <c r="K296">
        <v>-10.9</v>
      </c>
      <c r="L296" t="s">
        <v>1290</v>
      </c>
      <c r="M296" s="6">
        <f t="shared" si="9"/>
        <v>-2.9301862953305197E-2</v>
      </c>
      <c r="N296" s="6" t="str" cm="1">
        <f t="array" ref="N296">_xlfn.IFS('Data Cleaning &amp; Transf'!H296&lt;500,"LOW",AND('Data Cleaning &amp; Transf'!H296 &gt;500,'Data Cleaning &amp; Transf'!H296&lt;1000),"Medium",'Data Cleaning &amp; Transf'!H296&gt;1000,"High")</f>
        <v>LOW</v>
      </c>
    </row>
    <row r="297" spans="1:14" x14ac:dyDescent="0.3">
      <c r="A297" t="s">
        <v>306</v>
      </c>
      <c r="B297" s="2" t="s">
        <v>526</v>
      </c>
      <c r="C297" s="9" t="str">
        <f t="shared" si="8"/>
        <v>09-2023</v>
      </c>
      <c r="D297" t="s">
        <v>786</v>
      </c>
      <c r="E297" t="s">
        <v>787</v>
      </c>
      <c r="F297" t="s">
        <v>800</v>
      </c>
      <c r="G297" t="s">
        <v>1095</v>
      </c>
      <c r="H297">
        <v>182.52</v>
      </c>
      <c r="I297">
        <v>4</v>
      </c>
      <c r="J297">
        <v>0.15</v>
      </c>
      <c r="K297">
        <v>-9.76</v>
      </c>
      <c r="L297" t="s">
        <v>1290</v>
      </c>
      <c r="M297" s="6">
        <f t="shared" si="9"/>
        <v>-5.3473591935130391E-2</v>
      </c>
      <c r="N297" s="6" t="str" cm="1">
        <f t="array" ref="N297">_xlfn.IFS('Data Cleaning &amp; Transf'!H297&lt;500,"LOW",AND('Data Cleaning &amp; Transf'!H297 &gt;500,'Data Cleaning &amp; Transf'!H297&lt;1000),"Medium",'Data Cleaning &amp; Transf'!H297&gt;1000,"High")</f>
        <v>LOW</v>
      </c>
    </row>
    <row r="298" spans="1:14" x14ac:dyDescent="0.3">
      <c r="A298" t="s">
        <v>307</v>
      </c>
      <c r="B298" s="2" t="s">
        <v>709</v>
      </c>
      <c r="C298" s="9" t="str">
        <f t="shared" si="8"/>
        <v>01-2023</v>
      </c>
      <c r="D298" t="s">
        <v>786</v>
      </c>
      <c r="E298" t="s">
        <v>789</v>
      </c>
      <c r="F298" t="s">
        <v>797</v>
      </c>
      <c r="G298" t="s">
        <v>1096</v>
      </c>
      <c r="H298">
        <v>881.17</v>
      </c>
      <c r="I298">
        <v>3</v>
      </c>
      <c r="J298">
        <v>0</v>
      </c>
      <c r="K298">
        <v>165.78</v>
      </c>
      <c r="L298" t="s">
        <v>1289</v>
      </c>
      <c r="M298" s="6">
        <f t="shared" si="9"/>
        <v>0.18813622796963131</v>
      </c>
      <c r="N298" s="6" t="str" cm="1">
        <f t="array" ref="N298">_xlfn.IFS('Data Cleaning &amp; Transf'!H298&lt;500,"LOW",AND('Data Cleaning &amp; Transf'!H298 &gt;500,'Data Cleaning &amp; Transf'!H298&lt;1000),"Medium",'Data Cleaning &amp; Transf'!H298&gt;1000,"High")</f>
        <v>Medium</v>
      </c>
    </row>
    <row r="299" spans="1:14" x14ac:dyDescent="0.3">
      <c r="A299" t="s">
        <v>308</v>
      </c>
      <c r="B299" s="2" t="s">
        <v>710</v>
      </c>
      <c r="C299" s="9" t="str">
        <f t="shared" si="8"/>
        <v>03-2023</v>
      </c>
      <c r="D299" t="s">
        <v>785</v>
      </c>
      <c r="E299" t="s">
        <v>787</v>
      </c>
      <c r="F299" t="s">
        <v>800</v>
      </c>
      <c r="G299" t="s">
        <v>915</v>
      </c>
      <c r="H299">
        <v>431.25</v>
      </c>
      <c r="I299">
        <v>1</v>
      </c>
      <c r="J299">
        <v>0.15</v>
      </c>
      <c r="K299">
        <v>44.69</v>
      </c>
      <c r="L299" t="s">
        <v>1291</v>
      </c>
      <c r="M299" s="6">
        <f t="shared" si="9"/>
        <v>0.10362898550724638</v>
      </c>
      <c r="N299" s="6" t="str" cm="1">
        <f t="array" ref="N299">_xlfn.IFS('Data Cleaning &amp; Transf'!H299&lt;500,"LOW",AND('Data Cleaning &amp; Transf'!H299 &gt;500,'Data Cleaning &amp; Transf'!H299&lt;1000),"Medium",'Data Cleaning &amp; Transf'!H299&gt;1000,"High")</f>
        <v>LOW</v>
      </c>
    </row>
    <row r="300" spans="1:14" x14ac:dyDescent="0.3">
      <c r="A300" t="s">
        <v>309</v>
      </c>
      <c r="B300" s="2" t="s">
        <v>711</v>
      </c>
      <c r="C300" s="9" t="str">
        <f t="shared" si="8"/>
        <v>05-2023</v>
      </c>
      <c r="D300" t="s">
        <v>783</v>
      </c>
      <c r="E300" t="s">
        <v>788</v>
      </c>
      <c r="F300" t="s">
        <v>796</v>
      </c>
      <c r="G300" t="s">
        <v>1097</v>
      </c>
      <c r="H300">
        <v>334.41</v>
      </c>
      <c r="I300">
        <v>10</v>
      </c>
      <c r="J300">
        <v>0</v>
      </c>
      <c r="K300">
        <v>81.510000000000005</v>
      </c>
      <c r="L300" t="s">
        <v>1289</v>
      </c>
      <c r="M300" s="6">
        <f t="shared" si="9"/>
        <v>0.24374271104333003</v>
      </c>
      <c r="N300" s="6" t="str" cm="1">
        <f t="array" ref="N300">_xlfn.IFS('Data Cleaning &amp; Transf'!H300&lt;500,"LOW",AND('Data Cleaning &amp; Transf'!H300 &gt;500,'Data Cleaning &amp; Transf'!H300&lt;1000),"Medium",'Data Cleaning &amp; Transf'!H300&gt;1000,"High")</f>
        <v>LOW</v>
      </c>
    </row>
    <row r="301" spans="1:14" x14ac:dyDescent="0.3">
      <c r="A301" t="s">
        <v>310</v>
      </c>
      <c r="B301" s="2" t="s">
        <v>674</v>
      </c>
      <c r="C301" s="9" t="str">
        <f t="shared" si="8"/>
        <v>04-2023</v>
      </c>
      <c r="D301" t="s">
        <v>784</v>
      </c>
      <c r="E301" t="s">
        <v>789</v>
      </c>
      <c r="F301" t="s">
        <v>798</v>
      </c>
      <c r="G301" t="s">
        <v>1098</v>
      </c>
      <c r="H301">
        <v>259.27</v>
      </c>
      <c r="I301">
        <v>3</v>
      </c>
      <c r="J301">
        <v>0.2</v>
      </c>
      <c r="K301">
        <v>-32.57</v>
      </c>
      <c r="L301" t="s">
        <v>1289</v>
      </c>
      <c r="M301" s="6">
        <f t="shared" si="9"/>
        <v>-0.12562193851968992</v>
      </c>
      <c r="N301" s="6" t="str" cm="1">
        <f t="array" ref="N301">_xlfn.IFS('Data Cleaning &amp; Transf'!H301&lt;500,"LOW",AND('Data Cleaning &amp; Transf'!H301 &gt;500,'Data Cleaning &amp; Transf'!H301&lt;1000),"Medium",'Data Cleaning &amp; Transf'!H301&gt;1000,"High")</f>
        <v>LOW</v>
      </c>
    </row>
    <row r="302" spans="1:14" x14ac:dyDescent="0.3">
      <c r="A302" t="s">
        <v>311</v>
      </c>
      <c r="B302" s="2" t="s">
        <v>712</v>
      </c>
      <c r="C302" s="9" t="str">
        <f t="shared" si="8"/>
        <v>03-2023</v>
      </c>
      <c r="D302" t="s">
        <v>785</v>
      </c>
      <c r="E302" t="s">
        <v>788</v>
      </c>
      <c r="F302" t="s">
        <v>793</v>
      </c>
      <c r="G302" t="s">
        <v>1099</v>
      </c>
      <c r="H302">
        <v>187.32</v>
      </c>
      <c r="I302">
        <v>6</v>
      </c>
      <c r="J302">
        <v>0</v>
      </c>
      <c r="K302">
        <v>34.96</v>
      </c>
      <c r="L302" t="s">
        <v>1291</v>
      </c>
      <c r="M302" s="6">
        <f t="shared" si="9"/>
        <v>0.18663250053384584</v>
      </c>
      <c r="N302" s="6" t="str" cm="1">
        <f t="array" ref="N302">_xlfn.IFS('Data Cleaning &amp; Transf'!H302&lt;500,"LOW",AND('Data Cleaning &amp; Transf'!H302 &gt;500,'Data Cleaning &amp; Transf'!H302&lt;1000),"Medium",'Data Cleaning &amp; Transf'!H302&gt;1000,"High")</f>
        <v>LOW</v>
      </c>
    </row>
    <row r="303" spans="1:14" x14ac:dyDescent="0.3">
      <c r="A303" t="s">
        <v>312</v>
      </c>
      <c r="B303" s="2" t="s">
        <v>713</v>
      </c>
      <c r="C303" s="9" t="str">
        <f t="shared" si="8"/>
        <v>01-2023</v>
      </c>
      <c r="D303" t="s">
        <v>783</v>
      </c>
      <c r="E303" t="s">
        <v>787</v>
      </c>
      <c r="F303" t="s">
        <v>792</v>
      </c>
      <c r="G303" t="s">
        <v>1100</v>
      </c>
      <c r="H303">
        <v>1920.91</v>
      </c>
      <c r="I303">
        <v>6</v>
      </c>
      <c r="J303">
        <v>0.15</v>
      </c>
      <c r="K303">
        <v>-168.76</v>
      </c>
      <c r="L303" t="s">
        <v>1289</v>
      </c>
      <c r="M303" s="6">
        <f t="shared" si="9"/>
        <v>-8.7854194105918534E-2</v>
      </c>
      <c r="N303" s="6" t="str" cm="1">
        <f t="array" ref="N303">_xlfn.IFS('Data Cleaning &amp; Transf'!H303&lt;500,"LOW",AND('Data Cleaning &amp; Transf'!H303 &gt;500,'Data Cleaning &amp; Transf'!H303&lt;1000),"Medium",'Data Cleaning &amp; Transf'!H303&gt;1000,"High")</f>
        <v>High</v>
      </c>
    </row>
    <row r="304" spans="1:14" x14ac:dyDescent="0.3">
      <c r="A304" t="s">
        <v>313</v>
      </c>
      <c r="B304" s="2" t="s">
        <v>658</v>
      </c>
      <c r="C304" s="9" t="str">
        <f t="shared" si="8"/>
        <v>01-2023</v>
      </c>
      <c r="D304" t="s">
        <v>785</v>
      </c>
      <c r="E304" t="s">
        <v>788</v>
      </c>
      <c r="F304" t="s">
        <v>791</v>
      </c>
      <c r="G304" t="s">
        <v>1101</v>
      </c>
      <c r="H304">
        <v>1704.02</v>
      </c>
      <c r="I304">
        <v>7</v>
      </c>
      <c r="J304">
        <v>0.2</v>
      </c>
      <c r="K304">
        <v>54.94</v>
      </c>
      <c r="L304" t="s">
        <v>1291</v>
      </c>
      <c r="M304" s="6">
        <f t="shared" si="9"/>
        <v>3.2241405617304958E-2</v>
      </c>
      <c r="N304" s="6" t="str" cm="1">
        <f t="array" ref="N304">_xlfn.IFS('Data Cleaning &amp; Transf'!H304&lt;500,"LOW",AND('Data Cleaning &amp; Transf'!H304 &gt;500,'Data Cleaning &amp; Transf'!H304&lt;1000),"Medium",'Data Cleaning &amp; Transf'!H304&gt;1000,"High")</f>
        <v>High</v>
      </c>
    </row>
    <row r="305" spans="1:14" x14ac:dyDescent="0.3">
      <c r="A305" t="s">
        <v>314</v>
      </c>
      <c r="B305" s="2" t="s">
        <v>714</v>
      </c>
      <c r="C305" s="9" t="str">
        <f t="shared" si="8"/>
        <v>02-2023</v>
      </c>
      <c r="D305" t="s">
        <v>783</v>
      </c>
      <c r="E305" t="s">
        <v>787</v>
      </c>
      <c r="F305" t="s">
        <v>792</v>
      </c>
      <c r="G305" t="s">
        <v>1102</v>
      </c>
      <c r="H305">
        <v>920.6</v>
      </c>
      <c r="I305">
        <v>2</v>
      </c>
      <c r="J305">
        <v>0.2</v>
      </c>
      <c r="K305">
        <v>-64.69</v>
      </c>
      <c r="L305" t="s">
        <v>1290</v>
      </c>
      <c r="M305" s="6">
        <f t="shared" si="9"/>
        <v>-7.0269389528568316E-2</v>
      </c>
      <c r="N305" s="6" t="str" cm="1">
        <f t="array" ref="N305">_xlfn.IFS('Data Cleaning &amp; Transf'!H305&lt;500,"LOW",AND('Data Cleaning &amp; Transf'!H305 &gt;500,'Data Cleaning &amp; Transf'!H305&lt;1000),"Medium",'Data Cleaning &amp; Transf'!H305&gt;1000,"High")</f>
        <v>Medium</v>
      </c>
    </row>
    <row r="306" spans="1:14" x14ac:dyDescent="0.3">
      <c r="A306" t="s">
        <v>315</v>
      </c>
      <c r="B306" s="2" t="s">
        <v>715</v>
      </c>
      <c r="C306" s="9" t="str">
        <f t="shared" si="8"/>
        <v>01-2023</v>
      </c>
      <c r="D306" t="s">
        <v>783</v>
      </c>
      <c r="E306" t="s">
        <v>787</v>
      </c>
      <c r="F306" t="s">
        <v>801</v>
      </c>
      <c r="G306" t="s">
        <v>1103</v>
      </c>
      <c r="H306">
        <v>808.35</v>
      </c>
      <c r="I306">
        <v>7</v>
      </c>
      <c r="J306">
        <v>0.1</v>
      </c>
      <c r="K306">
        <v>117.31</v>
      </c>
      <c r="L306" t="s">
        <v>1289</v>
      </c>
      <c r="M306" s="6">
        <f t="shared" si="9"/>
        <v>0.14512278097358816</v>
      </c>
      <c r="N306" s="6" t="str" cm="1">
        <f t="array" ref="N306">_xlfn.IFS('Data Cleaning &amp; Transf'!H306&lt;500,"LOW",AND('Data Cleaning &amp; Transf'!H306 &gt;500,'Data Cleaning &amp; Transf'!H306&lt;1000),"Medium",'Data Cleaning &amp; Transf'!H306&gt;1000,"High")</f>
        <v>Medium</v>
      </c>
    </row>
    <row r="307" spans="1:14" x14ac:dyDescent="0.3">
      <c r="A307" t="s">
        <v>316</v>
      </c>
      <c r="B307" s="2" t="s">
        <v>716</v>
      </c>
      <c r="C307" s="9" t="str">
        <f t="shared" si="8"/>
        <v>12-2023</v>
      </c>
      <c r="D307" t="s">
        <v>784</v>
      </c>
      <c r="E307" t="s">
        <v>787</v>
      </c>
      <c r="F307" t="s">
        <v>790</v>
      </c>
      <c r="G307" t="s">
        <v>1104</v>
      </c>
      <c r="H307">
        <v>1758.46</v>
      </c>
      <c r="I307">
        <v>2</v>
      </c>
      <c r="J307">
        <v>0</v>
      </c>
      <c r="K307">
        <v>114.26</v>
      </c>
      <c r="L307" t="s">
        <v>1290</v>
      </c>
      <c r="M307" s="6">
        <f t="shared" si="9"/>
        <v>6.4977309691434545E-2</v>
      </c>
      <c r="N307" s="6" t="str" cm="1">
        <f t="array" ref="N307">_xlfn.IFS('Data Cleaning &amp; Transf'!H307&lt;500,"LOW",AND('Data Cleaning &amp; Transf'!H307 &gt;500,'Data Cleaning &amp; Transf'!H307&lt;1000),"Medium",'Data Cleaning &amp; Transf'!H307&gt;1000,"High")</f>
        <v>High</v>
      </c>
    </row>
    <row r="308" spans="1:14" x14ac:dyDescent="0.3">
      <c r="A308" t="s">
        <v>317</v>
      </c>
      <c r="B308" s="2" t="s">
        <v>592</v>
      </c>
      <c r="C308" s="9" t="str">
        <f t="shared" si="8"/>
        <v>07-2023</v>
      </c>
      <c r="D308" t="s">
        <v>784</v>
      </c>
      <c r="E308" t="s">
        <v>787</v>
      </c>
      <c r="F308" t="s">
        <v>792</v>
      </c>
      <c r="G308" t="s">
        <v>1105</v>
      </c>
      <c r="H308">
        <v>973.14</v>
      </c>
      <c r="I308">
        <v>3</v>
      </c>
      <c r="J308">
        <v>0</v>
      </c>
      <c r="K308">
        <v>89.28</v>
      </c>
      <c r="L308" t="s">
        <v>1290</v>
      </c>
      <c r="M308" s="6">
        <f t="shared" si="9"/>
        <v>9.1744250570318764E-2</v>
      </c>
      <c r="N308" s="6" t="str" cm="1">
        <f t="array" ref="N308">_xlfn.IFS('Data Cleaning &amp; Transf'!H308&lt;500,"LOW",AND('Data Cleaning &amp; Transf'!H308 &gt;500,'Data Cleaning &amp; Transf'!H308&lt;1000),"Medium",'Data Cleaning &amp; Transf'!H308&gt;1000,"High")</f>
        <v>Medium</v>
      </c>
    </row>
    <row r="309" spans="1:14" x14ac:dyDescent="0.3">
      <c r="A309" t="s">
        <v>318</v>
      </c>
      <c r="B309" s="2" t="s">
        <v>717</v>
      </c>
      <c r="C309" s="9" t="str">
        <f t="shared" si="8"/>
        <v>07-2023</v>
      </c>
      <c r="D309" t="s">
        <v>783</v>
      </c>
      <c r="E309" t="s">
        <v>789</v>
      </c>
      <c r="F309" t="s">
        <v>794</v>
      </c>
      <c r="G309" t="s">
        <v>1106</v>
      </c>
      <c r="H309">
        <v>564.22</v>
      </c>
      <c r="I309">
        <v>9</v>
      </c>
      <c r="J309">
        <v>0</v>
      </c>
      <c r="K309">
        <v>40.159999999999997</v>
      </c>
      <c r="L309" t="s">
        <v>1291</v>
      </c>
      <c r="M309" s="6">
        <f t="shared" si="9"/>
        <v>7.1177909326149369E-2</v>
      </c>
      <c r="N309" s="6" t="str" cm="1">
        <f t="array" ref="N309">_xlfn.IFS('Data Cleaning &amp; Transf'!H309&lt;500,"LOW",AND('Data Cleaning &amp; Transf'!H309 &gt;500,'Data Cleaning &amp; Transf'!H309&lt;1000),"Medium",'Data Cleaning &amp; Transf'!H309&gt;1000,"High")</f>
        <v>Medium</v>
      </c>
    </row>
    <row r="310" spans="1:14" x14ac:dyDescent="0.3">
      <c r="A310" t="s">
        <v>319</v>
      </c>
      <c r="B310" s="2" t="s">
        <v>718</v>
      </c>
      <c r="C310" s="9" t="str">
        <f t="shared" si="8"/>
        <v>12-2023</v>
      </c>
      <c r="D310" t="s">
        <v>783</v>
      </c>
      <c r="E310" t="s">
        <v>787</v>
      </c>
      <c r="F310" t="s">
        <v>800</v>
      </c>
      <c r="G310" t="s">
        <v>1107</v>
      </c>
      <c r="H310">
        <v>1561.99</v>
      </c>
      <c r="I310">
        <v>4</v>
      </c>
      <c r="J310">
        <v>0.15</v>
      </c>
      <c r="K310">
        <v>79.03</v>
      </c>
      <c r="L310" t="s">
        <v>1289</v>
      </c>
      <c r="M310" s="6">
        <f t="shared" si="9"/>
        <v>5.0595714441193609E-2</v>
      </c>
      <c r="N310" s="6" t="str" cm="1">
        <f t="array" ref="N310">_xlfn.IFS('Data Cleaning &amp; Transf'!H310&lt;500,"LOW",AND('Data Cleaning &amp; Transf'!H310 &gt;500,'Data Cleaning &amp; Transf'!H310&lt;1000),"Medium",'Data Cleaning &amp; Transf'!H310&gt;1000,"High")</f>
        <v>High</v>
      </c>
    </row>
    <row r="311" spans="1:14" x14ac:dyDescent="0.3">
      <c r="A311" t="s">
        <v>320</v>
      </c>
      <c r="B311" s="2" t="s">
        <v>552</v>
      </c>
      <c r="C311" s="9" t="str">
        <f t="shared" si="8"/>
        <v>06-2023</v>
      </c>
      <c r="D311" t="s">
        <v>784</v>
      </c>
      <c r="E311" t="s">
        <v>788</v>
      </c>
      <c r="F311" t="s">
        <v>796</v>
      </c>
      <c r="G311" t="s">
        <v>1108</v>
      </c>
      <c r="H311">
        <v>1394.07</v>
      </c>
      <c r="I311">
        <v>3</v>
      </c>
      <c r="J311">
        <v>0.1</v>
      </c>
      <c r="K311">
        <v>-62.13</v>
      </c>
      <c r="L311" t="s">
        <v>1289</v>
      </c>
      <c r="M311" s="6">
        <f t="shared" si="9"/>
        <v>-4.4567345972583876E-2</v>
      </c>
      <c r="N311" s="6" t="str" cm="1">
        <f t="array" ref="N311">_xlfn.IFS('Data Cleaning &amp; Transf'!H311&lt;500,"LOW",AND('Data Cleaning &amp; Transf'!H311 &gt;500,'Data Cleaning &amp; Transf'!H311&lt;1000),"Medium",'Data Cleaning &amp; Transf'!H311&gt;1000,"High")</f>
        <v>High</v>
      </c>
    </row>
    <row r="312" spans="1:14" x14ac:dyDescent="0.3">
      <c r="A312" t="s">
        <v>321</v>
      </c>
      <c r="B312" s="2" t="s">
        <v>719</v>
      </c>
      <c r="C312" s="9" t="str">
        <f t="shared" si="8"/>
        <v>02-2023</v>
      </c>
      <c r="D312" t="s">
        <v>783</v>
      </c>
      <c r="E312" t="s">
        <v>788</v>
      </c>
      <c r="F312" t="s">
        <v>795</v>
      </c>
      <c r="G312" t="s">
        <v>1109</v>
      </c>
      <c r="H312">
        <v>311.36</v>
      </c>
      <c r="I312">
        <v>3</v>
      </c>
      <c r="J312">
        <v>0.2</v>
      </c>
      <c r="K312">
        <v>20.62</v>
      </c>
      <c r="L312" t="s">
        <v>1290</v>
      </c>
      <c r="M312" s="6">
        <f t="shared" si="9"/>
        <v>6.6225590955806782E-2</v>
      </c>
      <c r="N312" s="6" t="str" cm="1">
        <f t="array" ref="N312">_xlfn.IFS('Data Cleaning &amp; Transf'!H312&lt;500,"LOW",AND('Data Cleaning &amp; Transf'!H312 &gt;500,'Data Cleaning &amp; Transf'!H312&lt;1000),"Medium",'Data Cleaning &amp; Transf'!H312&gt;1000,"High")</f>
        <v>LOW</v>
      </c>
    </row>
    <row r="313" spans="1:14" x14ac:dyDescent="0.3">
      <c r="A313" t="s">
        <v>322</v>
      </c>
      <c r="B313" s="2" t="s">
        <v>575</v>
      </c>
      <c r="C313" s="9" t="str">
        <f t="shared" si="8"/>
        <v>10-2023</v>
      </c>
      <c r="D313" t="s">
        <v>786</v>
      </c>
      <c r="E313" t="s">
        <v>787</v>
      </c>
      <c r="F313" t="s">
        <v>790</v>
      </c>
      <c r="G313" t="s">
        <v>1110</v>
      </c>
      <c r="H313">
        <v>629.44000000000005</v>
      </c>
      <c r="I313">
        <v>4</v>
      </c>
      <c r="J313">
        <v>0.1</v>
      </c>
      <c r="K313">
        <v>30.5</v>
      </c>
      <c r="L313" t="s">
        <v>1291</v>
      </c>
      <c r="M313" s="6">
        <f t="shared" si="9"/>
        <v>4.845577020843924E-2</v>
      </c>
      <c r="N313" s="6" t="str" cm="1">
        <f t="array" ref="N313">_xlfn.IFS('Data Cleaning &amp; Transf'!H313&lt;500,"LOW",AND('Data Cleaning &amp; Transf'!H313 &gt;500,'Data Cleaning &amp; Transf'!H313&lt;1000),"Medium",'Data Cleaning &amp; Transf'!H313&gt;1000,"High")</f>
        <v>Medium</v>
      </c>
    </row>
    <row r="314" spans="1:14" x14ac:dyDescent="0.3">
      <c r="A314" t="s">
        <v>323</v>
      </c>
      <c r="B314" s="2" t="s">
        <v>533</v>
      </c>
      <c r="C314" s="9" t="str">
        <f t="shared" si="8"/>
        <v>08-2023</v>
      </c>
      <c r="D314" t="s">
        <v>786</v>
      </c>
      <c r="E314" t="s">
        <v>789</v>
      </c>
      <c r="F314" t="s">
        <v>797</v>
      </c>
      <c r="G314" t="s">
        <v>1111</v>
      </c>
      <c r="H314">
        <v>342.82</v>
      </c>
      <c r="I314">
        <v>6</v>
      </c>
      <c r="J314">
        <v>0.2</v>
      </c>
      <c r="K314">
        <v>-16.27</v>
      </c>
      <c r="L314" t="s">
        <v>1291</v>
      </c>
      <c r="M314" s="6">
        <f t="shared" si="9"/>
        <v>-4.7459308091709937E-2</v>
      </c>
      <c r="N314" s="6" t="str" cm="1">
        <f t="array" ref="N314">_xlfn.IFS('Data Cleaning &amp; Transf'!H314&lt;500,"LOW",AND('Data Cleaning &amp; Transf'!H314 &gt;500,'Data Cleaning &amp; Transf'!H314&lt;1000),"Medium",'Data Cleaning &amp; Transf'!H314&gt;1000,"High")</f>
        <v>LOW</v>
      </c>
    </row>
    <row r="315" spans="1:14" x14ac:dyDescent="0.3">
      <c r="A315" t="s">
        <v>324</v>
      </c>
      <c r="B315" s="2" t="s">
        <v>720</v>
      </c>
      <c r="C315" s="9" t="str">
        <f t="shared" si="8"/>
        <v>11-2023</v>
      </c>
      <c r="D315" t="s">
        <v>783</v>
      </c>
      <c r="E315" t="s">
        <v>788</v>
      </c>
      <c r="F315" t="s">
        <v>795</v>
      </c>
      <c r="G315" t="s">
        <v>1112</v>
      </c>
      <c r="H315">
        <v>1835.4</v>
      </c>
      <c r="I315">
        <v>7</v>
      </c>
      <c r="J315">
        <v>0.1</v>
      </c>
      <c r="K315">
        <v>-18.16</v>
      </c>
      <c r="L315" t="s">
        <v>1291</v>
      </c>
      <c r="M315" s="6">
        <f t="shared" si="9"/>
        <v>-9.8943009698158439E-3</v>
      </c>
      <c r="N315" s="6" t="str" cm="1">
        <f t="array" ref="N315">_xlfn.IFS('Data Cleaning &amp; Transf'!H315&lt;500,"LOW",AND('Data Cleaning &amp; Transf'!H315 &gt;500,'Data Cleaning &amp; Transf'!H315&lt;1000),"Medium",'Data Cleaning &amp; Transf'!H315&gt;1000,"High")</f>
        <v>High</v>
      </c>
    </row>
    <row r="316" spans="1:14" x14ac:dyDescent="0.3">
      <c r="A316" t="s">
        <v>325</v>
      </c>
      <c r="B316" s="2" t="s">
        <v>721</v>
      </c>
      <c r="C316" s="9" t="str">
        <f t="shared" si="8"/>
        <v>06-2023</v>
      </c>
      <c r="D316" t="s">
        <v>784</v>
      </c>
      <c r="E316" t="s">
        <v>788</v>
      </c>
      <c r="F316" t="s">
        <v>791</v>
      </c>
      <c r="G316" t="s">
        <v>1113</v>
      </c>
      <c r="H316">
        <v>1573.08</v>
      </c>
      <c r="I316">
        <v>1</v>
      </c>
      <c r="J316">
        <v>0.2</v>
      </c>
      <c r="K316">
        <v>-222.89</v>
      </c>
      <c r="L316" t="s">
        <v>1290</v>
      </c>
      <c r="M316" s="6">
        <f t="shared" si="9"/>
        <v>-0.14169018740305642</v>
      </c>
      <c r="N316" s="6" t="str" cm="1">
        <f t="array" ref="N316">_xlfn.IFS('Data Cleaning &amp; Transf'!H316&lt;500,"LOW",AND('Data Cleaning &amp; Transf'!H316 &gt;500,'Data Cleaning &amp; Transf'!H316&lt;1000),"Medium",'Data Cleaning &amp; Transf'!H316&gt;1000,"High")</f>
        <v>High</v>
      </c>
    </row>
    <row r="317" spans="1:14" x14ac:dyDescent="0.3">
      <c r="A317" t="s">
        <v>326</v>
      </c>
      <c r="B317" s="2" t="s">
        <v>722</v>
      </c>
      <c r="C317" s="9" t="str">
        <f t="shared" si="8"/>
        <v>08-2023</v>
      </c>
      <c r="D317" t="s">
        <v>783</v>
      </c>
      <c r="E317" t="s">
        <v>789</v>
      </c>
      <c r="F317" t="s">
        <v>794</v>
      </c>
      <c r="G317" t="s">
        <v>1114</v>
      </c>
      <c r="H317">
        <v>377.21</v>
      </c>
      <c r="I317">
        <v>1</v>
      </c>
      <c r="J317">
        <v>0.15</v>
      </c>
      <c r="K317">
        <v>14.92</v>
      </c>
      <c r="L317" t="s">
        <v>1291</v>
      </c>
      <c r="M317" s="6">
        <f t="shared" si="9"/>
        <v>3.95535643275629E-2</v>
      </c>
      <c r="N317" s="6" t="str" cm="1">
        <f t="array" ref="N317">_xlfn.IFS('Data Cleaning &amp; Transf'!H317&lt;500,"LOW",AND('Data Cleaning &amp; Transf'!H317 &gt;500,'Data Cleaning &amp; Transf'!H317&lt;1000),"Medium",'Data Cleaning &amp; Transf'!H317&gt;1000,"High")</f>
        <v>LOW</v>
      </c>
    </row>
    <row r="318" spans="1:14" x14ac:dyDescent="0.3">
      <c r="A318" t="s">
        <v>327</v>
      </c>
      <c r="B318" s="2" t="s">
        <v>686</v>
      </c>
      <c r="C318" s="9" t="str">
        <f t="shared" si="8"/>
        <v>08-2023</v>
      </c>
      <c r="D318" t="s">
        <v>783</v>
      </c>
      <c r="E318" t="s">
        <v>787</v>
      </c>
      <c r="F318" t="s">
        <v>800</v>
      </c>
      <c r="G318" t="s">
        <v>1115</v>
      </c>
      <c r="H318">
        <v>886.87</v>
      </c>
      <c r="I318">
        <v>3</v>
      </c>
      <c r="J318">
        <v>0.1</v>
      </c>
      <c r="K318">
        <v>169.55</v>
      </c>
      <c r="L318" t="s">
        <v>1291</v>
      </c>
      <c r="M318" s="6">
        <f t="shared" si="9"/>
        <v>0.19117796294834644</v>
      </c>
      <c r="N318" s="6" t="str" cm="1">
        <f t="array" ref="N318">_xlfn.IFS('Data Cleaning &amp; Transf'!H318&lt;500,"LOW",AND('Data Cleaning &amp; Transf'!H318 &gt;500,'Data Cleaning &amp; Transf'!H318&lt;1000),"Medium",'Data Cleaning &amp; Transf'!H318&gt;1000,"High")</f>
        <v>Medium</v>
      </c>
    </row>
    <row r="319" spans="1:14" x14ac:dyDescent="0.3">
      <c r="A319" t="s">
        <v>328</v>
      </c>
      <c r="B319" s="2" t="s">
        <v>660</v>
      </c>
      <c r="C319" s="9" t="str">
        <f t="shared" si="8"/>
        <v>10-2023</v>
      </c>
      <c r="D319" t="s">
        <v>783</v>
      </c>
      <c r="E319" t="s">
        <v>787</v>
      </c>
      <c r="F319" t="s">
        <v>792</v>
      </c>
      <c r="G319" t="s">
        <v>1116</v>
      </c>
      <c r="H319">
        <v>674.96</v>
      </c>
      <c r="I319">
        <v>2</v>
      </c>
      <c r="J319">
        <v>0</v>
      </c>
      <c r="K319">
        <v>82.21</v>
      </c>
      <c r="L319" t="s">
        <v>1289</v>
      </c>
      <c r="M319" s="6">
        <f t="shared" si="9"/>
        <v>0.12179981035913237</v>
      </c>
      <c r="N319" s="6" t="str" cm="1">
        <f t="array" ref="N319">_xlfn.IFS('Data Cleaning &amp; Transf'!H319&lt;500,"LOW",AND('Data Cleaning &amp; Transf'!H319 &gt;500,'Data Cleaning &amp; Transf'!H319&lt;1000),"Medium",'Data Cleaning &amp; Transf'!H319&gt;1000,"High")</f>
        <v>Medium</v>
      </c>
    </row>
    <row r="320" spans="1:14" x14ac:dyDescent="0.3">
      <c r="A320" t="s">
        <v>329</v>
      </c>
      <c r="B320" s="2" t="s">
        <v>712</v>
      </c>
      <c r="C320" s="9" t="str">
        <f t="shared" si="8"/>
        <v>03-2023</v>
      </c>
      <c r="D320" t="s">
        <v>784</v>
      </c>
      <c r="E320" t="s">
        <v>788</v>
      </c>
      <c r="F320" t="s">
        <v>793</v>
      </c>
      <c r="G320" t="s">
        <v>1117</v>
      </c>
      <c r="H320">
        <v>1607.62</v>
      </c>
      <c r="I320">
        <v>1</v>
      </c>
      <c r="J320">
        <v>0.15</v>
      </c>
      <c r="K320">
        <v>57.93</v>
      </c>
      <c r="L320" t="s">
        <v>1291</v>
      </c>
      <c r="M320" s="6">
        <f t="shared" si="9"/>
        <v>3.6034635050571653E-2</v>
      </c>
      <c r="N320" s="6" t="str" cm="1">
        <f t="array" ref="N320">_xlfn.IFS('Data Cleaning &amp; Transf'!H320&lt;500,"LOW",AND('Data Cleaning &amp; Transf'!H320 &gt;500,'Data Cleaning &amp; Transf'!H320&lt;1000),"Medium",'Data Cleaning &amp; Transf'!H320&gt;1000,"High")</f>
        <v>High</v>
      </c>
    </row>
    <row r="321" spans="1:14" x14ac:dyDescent="0.3">
      <c r="A321" t="s">
        <v>330</v>
      </c>
      <c r="B321" s="2" t="s">
        <v>648</v>
      </c>
      <c r="C321" s="9" t="str">
        <f t="shared" si="8"/>
        <v>12-2023</v>
      </c>
      <c r="D321" t="s">
        <v>783</v>
      </c>
      <c r="E321" t="s">
        <v>788</v>
      </c>
      <c r="F321" t="s">
        <v>795</v>
      </c>
      <c r="G321" t="s">
        <v>1118</v>
      </c>
      <c r="H321">
        <v>615.83000000000004</v>
      </c>
      <c r="I321">
        <v>10</v>
      </c>
      <c r="J321">
        <v>0</v>
      </c>
      <c r="K321">
        <v>116.25</v>
      </c>
      <c r="L321" t="s">
        <v>1291</v>
      </c>
      <c r="M321" s="6">
        <f t="shared" si="9"/>
        <v>0.18876962798174821</v>
      </c>
      <c r="N321" s="6" t="str" cm="1">
        <f t="array" ref="N321">_xlfn.IFS('Data Cleaning &amp; Transf'!H321&lt;500,"LOW",AND('Data Cleaning &amp; Transf'!H321 &gt;500,'Data Cleaning &amp; Transf'!H321&lt;1000),"Medium",'Data Cleaning &amp; Transf'!H321&gt;1000,"High")</f>
        <v>Medium</v>
      </c>
    </row>
    <row r="322" spans="1:14" x14ac:dyDescent="0.3">
      <c r="A322" t="s">
        <v>331</v>
      </c>
      <c r="B322" s="2" t="s">
        <v>723</v>
      </c>
      <c r="C322" s="9" t="str">
        <f t="shared" si="8"/>
        <v>05-2023</v>
      </c>
      <c r="D322" t="s">
        <v>784</v>
      </c>
      <c r="E322" t="s">
        <v>787</v>
      </c>
      <c r="F322" t="s">
        <v>800</v>
      </c>
      <c r="G322" t="s">
        <v>1119</v>
      </c>
      <c r="H322">
        <v>710.44</v>
      </c>
      <c r="I322">
        <v>1</v>
      </c>
      <c r="J322">
        <v>0.15</v>
      </c>
      <c r="K322">
        <v>-4.9400000000000004</v>
      </c>
      <c r="L322" t="s">
        <v>1289</v>
      </c>
      <c r="M322" s="6">
        <f t="shared" si="9"/>
        <v>-6.9534373064579699E-3</v>
      </c>
      <c r="N322" s="6" t="str" cm="1">
        <f t="array" ref="N322">_xlfn.IFS('Data Cleaning &amp; Transf'!H322&lt;500,"LOW",AND('Data Cleaning &amp; Transf'!H322 &gt;500,'Data Cleaning &amp; Transf'!H322&lt;1000),"Medium",'Data Cleaning &amp; Transf'!H322&gt;1000,"High")</f>
        <v>Medium</v>
      </c>
    </row>
    <row r="323" spans="1:14" x14ac:dyDescent="0.3">
      <c r="A323" t="s">
        <v>332</v>
      </c>
      <c r="B323" s="2" t="s">
        <v>574</v>
      </c>
      <c r="C323" s="9" t="str">
        <f t="shared" ref="C323:C386" si="10">TEXT(B323,"MM-YYYY")</f>
        <v>03-2023</v>
      </c>
      <c r="D323" t="s">
        <v>786</v>
      </c>
      <c r="E323" t="s">
        <v>787</v>
      </c>
      <c r="F323" t="s">
        <v>792</v>
      </c>
      <c r="G323" t="s">
        <v>1120</v>
      </c>
      <c r="H323">
        <v>939.36</v>
      </c>
      <c r="I323">
        <v>4</v>
      </c>
      <c r="J323">
        <v>0.2</v>
      </c>
      <c r="K323">
        <v>-28.51</v>
      </c>
      <c r="L323" t="s">
        <v>1290</v>
      </c>
      <c r="M323" s="6">
        <f t="shared" ref="M323:M386" si="11">K323/H323</f>
        <v>-3.0350451371146312E-2</v>
      </c>
      <c r="N323" s="6" t="str" cm="1">
        <f t="array" ref="N323">_xlfn.IFS('Data Cleaning &amp; Transf'!H323&lt;500,"LOW",AND('Data Cleaning &amp; Transf'!H323 &gt;500,'Data Cleaning &amp; Transf'!H323&lt;1000),"Medium",'Data Cleaning &amp; Transf'!H323&gt;1000,"High")</f>
        <v>Medium</v>
      </c>
    </row>
    <row r="324" spans="1:14" x14ac:dyDescent="0.3">
      <c r="A324" t="s">
        <v>333</v>
      </c>
      <c r="B324" s="2" t="s">
        <v>620</v>
      </c>
      <c r="C324" s="9" t="str">
        <f t="shared" si="10"/>
        <v>02-2023</v>
      </c>
      <c r="D324" t="s">
        <v>783</v>
      </c>
      <c r="E324" t="s">
        <v>788</v>
      </c>
      <c r="F324" t="s">
        <v>796</v>
      </c>
      <c r="G324" t="s">
        <v>1121</v>
      </c>
      <c r="H324">
        <v>1631.16</v>
      </c>
      <c r="I324">
        <v>7</v>
      </c>
      <c r="J324">
        <v>0.05</v>
      </c>
      <c r="K324">
        <v>363.12</v>
      </c>
      <c r="L324" t="s">
        <v>1291</v>
      </c>
      <c r="M324" s="6">
        <f t="shared" si="11"/>
        <v>0.22261458103435591</v>
      </c>
      <c r="N324" s="6" t="str" cm="1">
        <f t="array" ref="N324">_xlfn.IFS('Data Cleaning &amp; Transf'!H324&lt;500,"LOW",AND('Data Cleaning &amp; Transf'!H324 &gt;500,'Data Cleaning &amp; Transf'!H324&lt;1000),"Medium",'Data Cleaning &amp; Transf'!H324&gt;1000,"High")</f>
        <v>High</v>
      </c>
    </row>
    <row r="325" spans="1:14" x14ac:dyDescent="0.3">
      <c r="A325" t="s">
        <v>334</v>
      </c>
      <c r="B325" s="2" t="s">
        <v>652</v>
      </c>
      <c r="C325" s="9" t="str">
        <f t="shared" si="10"/>
        <v>10-2023</v>
      </c>
      <c r="D325" t="s">
        <v>785</v>
      </c>
      <c r="E325" t="s">
        <v>789</v>
      </c>
      <c r="F325" t="s">
        <v>794</v>
      </c>
      <c r="G325" t="s">
        <v>1122</v>
      </c>
      <c r="H325">
        <v>934.61</v>
      </c>
      <c r="I325">
        <v>7</v>
      </c>
      <c r="J325">
        <v>0.1</v>
      </c>
      <c r="K325">
        <v>60.49</v>
      </c>
      <c r="L325" t="s">
        <v>1290</v>
      </c>
      <c r="M325" s="6">
        <f t="shared" si="11"/>
        <v>6.472218358459679E-2</v>
      </c>
      <c r="N325" s="6" t="str" cm="1">
        <f t="array" ref="N325">_xlfn.IFS('Data Cleaning &amp; Transf'!H325&lt;500,"LOW",AND('Data Cleaning &amp; Transf'!H325 &gt;500,'Data Cleaning &amp; Transf'!H325&lt;1000),"Medium",'Data Cleaning &amp; Transf'!H325&gt;1000,"High")</f>
        <v>Medium</v>
      </c>
    </row>
    <row r="326" spans="1:14" x14ac:dyDescent="0.3">
      <c r="A326" t="s">
        <v>335</v>
      </c>
      <c r="B326" s="2" t="s">
        <v>552</v>
      </c>
      <c r="C326" s="9" t="str">
        <f t="shared" si="10"/>
        <v>06-2023</v>
      </c>
      <c r="D326" t="s">
        <v>785</v>
      </c>
      <c r="E326" t="s">
        <v>787</v>
      </c>
      <c r="F326" t="s">
        <v>790</v>
      </c>
      <c r="G326" t="s">
        <v>1123</v>
      </c>
      <c r="H326">
        <v>1745.82</v>
      </c>
      <c r="I326">
        <v>1</v>
      </c>
      <c r="J326">
        <v>0.2</v>
      </c>
      <c r="K326">
        <v>-213.22</v>
      </c>
      <c r="L326" t="s">
        <v>1291</v>
      </c>
      <c r="M326" s="6">
        <f t="shared" si="11"/>
        <v>-0.12213172033772096</v>
      </c>
      <c r="N326" s="6" t="str" cm="1">
        <f t="array" ref="N326">_xlfn.IFS('Data Cleaning &amp; Transf'!H326&lt;500,"LOW",AND('Data Cleaning &amp; Transf'!H326 &gt;500,'Data Cleaning &amp; Transf'!H326&lt;1000),"Medium",'Data Cleaning &amp; Transf'!H326&gt;1000,"High")</f>
        <v>High</v>
      </c>
    </row>
    <row r="327" spans="1:14" x14ac:dyDescent="0.3">
      <c r="A327" t="s">
        <v>336</v>
      </c>
      <c r="B327" s="2" t="s">
        <v>672</v>
      </c>
      <c r="C327" s="9" t="str">
        <f t="shared" si="10"/>
        <v>03-2023</v>
      </c>
      <c r="D327" t="s">
        <v>785</v>
      </c>
      <c r="E327" t="s">
        <v>789</v>
      </c>
      <c r="F327" t="s">
        <v>794</v>
      </c>
      <c r="G327" t="s">
        <v>1124</v>
      </c>
      <c r="H327">
        <v>485.97</v>
      </c>
      <c r="I327">
        <v>5</v>
      </c>
      <c r="J327">
        <v>0.1</v>
      </c>
      <c r="K327">
        <v>52.83</v>
      </c>
      <c r="L327" t="s">
        <v>1290</v>
      </c>
      <c r="M327" s="6">
        <f t="shared" si="11"/>
        <v>0.10871041422310018</v>
      </c>
      <c r="N327" s="6" t="str" cm="1">
        <f t="array" ref="N327">_xlfn.IFS('Data Cleaning &amp; Transf'!H327&lt;500,"LOW",AND('Data Cleaning &amp; Transf'!H327 &gt;500,'Data Cleaning &amp; Transf'!H327&lt;1000),"Medium",'Data Cleaning &amp; Transf'!H327&gt;1000,"High")</f>
        <v>LOW</v>
      </c>
    </row>
    <row r="328" spans="1:14" x14ac:dyDescent="0.3">
      <c r="A328" t="s">
        <v>337</v>
      </c>
      <c r="B328" s="2" t="s">
        <v>724</v>
      </c>
      <c r="C328" s="9" t="str">
        <f t="shared" si="10"/>
        <v>07-2023</v>
      </c>
      <c r="D328" t="s">
        <v>785</v>
      </c>
      <c r="E328" t="s">
        <v>787</v>
      </c>
      <c r="F328" t="s">
        <v>792</v>
      </c>
      <c r="G328" t="s">
        <v>1125</v>
      </c>
      <c r="H328">
        <v>1366.57</v>
      </c>
      <c r="I328">
        <v>5</v>
      </c>
      <c r="J328">
        <v>0</v>
      </c>
      <c r="K328">
        <v>155.11000000000001</v>
      </c>
      <c r="L328" t="s">
        <v>1290</v>
      </c>
      <c r="M328" s="6">
        <f t="shared" si="11"/>
        <v>0.11350315022282065</v>
      </c>
      <c r="N328" s="6" t="str" cm="1">
        <f t="array" ref="N328">_xlfn.IFS('Data Cleaning &amp; Transf'!H328&lt;500,"LOW",AND('Data Cleaning &amp; Transf'!H328 &gt;500,'Data Cleaning &amp; Transf'!H328&lt;1000),"Medium",'Data Cleaning &amp; Transf'!H328&gt;1000,"High")</f>
        <v>High</v>
      </c>
    </row>
    <row r="329" spans="1:14" x14ac:dyDescent="0.3">
      <c r="A329" t="s">
        <v>338</v>
      </c>
      <c r="B329" s="2" t="s">
        <v>725</v>
      </c>
      <c r="C329" s="9" t="str">
        <f t="shared" si="10"/>
        <v>07-2023</v>
      </c>
      <c r="D329" t="s">
        <v>783</v>
      </c>
      <c r="E329" t="s">
        <v>788</v>
      </c>
      <c r="F329" t="s">
        <v>795</v>
      </c>
      <c r="G329" t="s">
        <v>1126</v>
      </c>
      <c r="H329">
        <v>1899.4</v>
      </c>
      <c r="I329">
        <v>10</v>
      </c>
      <c r="J329">
        <v>0.1</v>
      </c>
      <c r="K329">
        <v>-44.42</v>
      </c>
      <c r="L329" t="s">
        <v>1289</v>
      </c>
      <c r="M329" s="6">
        <f t="shared" si="11"/>
        <v>-2.3386332526060861E-2</v>
      </c>
      <c r="N329" s="6" t="str" cm="1">
        <f t="array" ref="N329">_xlfn.IFS('Data Cleaning &amp; Transf'!H329&lt;500,"LOW",AND('Data Cleaning &amp; Transf'!H329 &gt;500,'Data Cleaning &amp; Transf'!H329&lt;1000),"Medium",'Data Cleaning &amp; Transf'!H329&gt;1000,"High")</f>
        <v>High</v>
      </c>
    </row>
    <row r="330" spans="1:14" x14ac:dyDescent="0.3">
      <c r="A330" t="s">
        <v>339</v>
      </c>
      <c r="B330" s="2" t="s">
        <v>616</v>
      </c>
      <c r="C330" s="9" t="str">
        <f t="shared" si="10"/>
        <v>09-2023</v>
      </c>
      <c r="D330" t="s">
        <v>786</v>
      </c>
      <c r="E330" t="s">
        <v>787</v>
      </c>
      <c r="F330" t="s">
        <v>790</v>
      </c>
      <c r="G330" t="s">
        <v>1127</v>
      </c>
      <c r="H330">
        <v>815.32</v>
      </c>
      <c r="I330">
        <v>2</v>
      </c>
      <c r="J330">
        <v>0.2</v>
      </c>
      <c r="K330">
        <v>-41.21</v>
      </c>
      <c r="L330" t="s">
        <v>1290</v>
      </c>
      <c r="M330" s="6">
        <f t="shared" si="11"/>
        <v>-5.0544571456605993E-2</v>
      </c>
      <c r="N330" s="6" t="str" cm="1">
        <f t="array" ref="N330">_xlfn.IFS('Data Cleaning &amp; Transf'!H330&lt;500,"LOW",AND('Data Cleaning &amp; Transf'!H330 &gt;500,'Data Cleaning &amp; Transf'!H330&lt;1000),"Medium",'Data Cleaning &amp; Transf'!H330&gt;1000,"High")</f>
        <v>Medium</v>
      </c>
    </row>
    <row r="331" spans="1:14" x14ac:dyDescent="0.3">
      <c r="A331" t="s">
        <v>340</v>
      </c>
      <c r="B331" s="2" t="s">
        <v>726</v>
      </c>
      <c r="C331" s="9" t="str">
        <f t="shared" si="10"/>
        <v>05-2023</v>
      </c>
      <c r="D331" t="s">
        <v>785</v>
      </c>
      <c r="E331" t="s">
        <v>788</v>
      </c>
      <c r="F331" t="s">
        <v>791</v>
      </c>
      <c r="G331" t="s">
        <v>1128</v>
      </c>
      <c r="H331">
        <v>1467.1</v>
      </c>
      <c r="I331">
        <v>8</v>
      </c>
      <c r="J331">
        <v>0.2</v>
      </c>
      <c r="K331">
        <v>-5.14</v>
      </c>
      <c r="L331" t="s">
        <v>1291</v>
      </c>
      <c r="M331" s="6">
        <f t="shared" si="11"/>
        <v>-3.5035103264944448E-3</v>
      </c>
      <c r="N331" s="6" t="str" cm="1">
        <f t="array" ref="N331">_xlfn.IFS('Data Cleaning &amp; Transf'!H331&lt;500,"LOW",AND('Data Cleaning &amp; Transf'!H331 &gt;500,'Data Cleaning &amp; Transf'!H331&lt;1000),"Medium",'Data Cleaning &amp; Transf'!H331&gt;1000,"High")</f>
        <v>High</v>
      </c>
    </row>
    <row r="332" spans="1:14" x14ac:dyDescent="0.3">
      <c r="A332" t="s">
        <v>341</v>
      </c>
      <c r="B332" s="2" t="s">
        <v>696</v>
      </c>
      <c r="C332" s="9" t="str">
        <f t="shared" si="10"/>
        <v>01-2023</v>
      </c>
      <c r="D332" t="s">
        <v>783</v>
      </c>
      <c r="E332" t="s">
        <v>789</v>
      </c>
      <c r="F332" t="s">
        <v>799</v>
      </c>
      <c r="G332" t="s">
        <v>1129</v>
      </c>
      <c r="H332">
        <v>1991.29</v>
      </c>
      <c r="I332">
        <v>2</v>
      </c>
      <c r="J332">
        <v>0</v>
      </c>
      <c r="K332">
        <v>289.8</v>
      </c>
      <c r="L332" t="s">
        <v>1291</v>
      </c>
      <c r="M332" s="6">
        <f t="shared" si="11"/>
        <v>0.14553379969768343</v>
      </c>
      <c r="N332" s="6" t="str" cm="1">
        <f t="array" ref="N332">_xlfn.IFS('Data Cleaning &amp; Transf'!H332&lt;500,"LOW",AND('Data Cleaning &amp; Transf'!H332 &gt;500,'Data Cleaning &amp; Transf'!H332&lt;1000),"Medium",'Data Cleaning &amp; Transf'!H332&gt;1000,"High")</f>
        <v>High</v>
      </c>
    </row>
    <row r="333" spans="1:14" x14ac:dyDescent="0.3">
      <c r="A333" t="s">
        <v>342</v>
      </c>
      <c r="B333" s="2" t="s">
        <v>653</v>
      </c>
      <c r="C333" s="9" t="str">
        <f t="shared" si="10"/>
        <v>10-2023</v>
      </c>
      <c r="D333" t="s">
        <v>783</v>
      </c>
      <c r="E333" t="s">
        <v>789</v>
      </c>
      <c r="F333" t="s">
        <v>799</v>
      </c>
      <c r="G333" t="s">
        <v>1130</v>
      </c>
      <c r="H333">
        <v>1975.41</v>
      </c>
      <c r="I333">
        <v>7</v>
      </c>
      <c r="J333">
        <v>0</v>
      </c>
      <c r="K333">
        <v>482.73</v>
      </c>
      <c r="L333" t="s">
        <v>1290</v>
      </c>
      <c r="M333" s="6">
        <f t="shared" si="11"/>
        <v>0.24436952328883624</v>
      </c>
      <c r="N333" s="6" t="str" cm="1">
        <f t="array" ref="N333">_xlfn.IFS('Data Cleaning &amp; Transf'!H333&lt;500,"LOW",AND('Data Cleaning &amp; Transf'!H333 &gt;500,'Data Cleaning &amp; Transf'!H333&lt;1000),"Medium",'Data Cleaning &amp; Transf'!H333&gt;1000,"High")</f>
        <v>High</v>
      </c>
    </row>
    <row r="334" spans="1:14" x14ac:dyDescent="0.3">
      <c r="A334" t="s">
        <v>343</v>
      </c>
      <c r="B334" s="2" t="s">
        <v>574</v>
      </c>
      <c r="C334" s="9" t="str">
        <f t="shared" si="10"/>
        <v>03-2023</v>
      </c>
      <c r="D334" t="s">
        <v>786</v>
      </c>
      <c r="E334" t="s">
        <v>789</v>
      </c>
      <c r="F334" t="s">
        <v>794</v>
      </c>
      <c r="G334" t="s">
        <v>1131</v>
      </c>
      <c r="H334">
        <v>1301.23</v>
      </c>
      <c r="I334">
        <v>3</v>
      </c>
      <c r="J334">
        <v>0.2</v>
      </c>
      <c r="K334">
        <v>7.65</v>
      </c>
      <c r="L334" t="s">
        <v>1290</v>
      </c>
      <c r="M334" s="6">
        <f t="shared" si="11"/>
        <v>5.8790528961059924E-3</v>
      </c>
      <c r="N334" s="6" t="str" cm="1">
        <f t="array" ref="N334">_xlfn.IFS('Data Cleaning &amp; Transf'!H334&lt;500,"LOW",AND('Data Cleaning &amp; Transf'!H334 &gt;500,'Data Cleaning &amp; Transf'!H334&lt;1000),"Medium",'Data Cleaning &amp; Transf'!H334&gt;1000,"High")</f>
        <v>High</v>
      </c>
    </row>
    <row r="335" spans="1:14" x14ac:dyDescent="0.3">
      <c r="A335" t="s">
        <v>344</v>
      </c>
      <c r="B335" s="2" t="s">
        <v>727</v>
      </c>
      <c r="C335" s="9" t="str">
        <f t="shared" si="10"/>
        <v>04-2023</v>
      </c>
      <c r="D335" t="s">
        <v>784</v>
      </c>
      <c r="E335" t="s">
        <v>788</v>
      </c>
      <c r="F335" t="s">
        <v>791</v>
      </c>
      <c r="G335" t="s">
        <v>1132</v>
      </c>
      <c r="H335">
        <v>143.88999999999999</v>
      </c>
      <c r="I335">
        <v>9</v>
      </c>
      <c r="J335">
        <v>0.15</v>
      </c>
      <c r="K335">
        <v>-13.29</v>
      </c>
      <c r="L335" t="s">
        <v>1290</v>
      </c>
      <c r="M335" s="6">
        <f t="shared" si="11"/>
        <v>-9.2362221141149489E-2</v>
      </c>
      <c r="N335" s="6" t="str" cm="1">
        <f t="array" ref="N335">_xlfn.IFS('Data Cleaning &amp; Transf'!H335&lt;500,"LOW",AND('Data Cleaning &amp; Transf'!H335 &gt;500,'Data Cleaning &amp; Transf'!H335&lt;1000),"Medium",'Data Cleaning &amp; Transf'!H335&gt;1000,"High")</f>
        <v>LOW</v>
      </c>
    </row>
    <row r="336" spans="1:14" x14ac:dyDescent="0.3">
      <c r="A336" t="s">
        <v>345</v>
      </c>
      <c r="B336" s="2" t="s">
        <v>728</v>
      </c>
      <c r="C336" s="9" t="str">
        <f t="shared" si="10"/>
        <v>04-2023</v>
      </c>
      <c r="D336" t="s">
        <v>783</v>
      </c>
      <c r="E336" t="s">
        <v>787</v>
      </c>
      <c r="F336" t="s">
        <v>801</v>
      </c>
      <c r="G336" t="s">
        <v>1133</v>
      </c>
      <c r="H336">
        <v>1799.02</v>
      </c>
      <c r="I336">
        <v>5</v>
      </c>
      <c r="J336">
        <v>0.1</v>
      </c>
      <c r="K336">
        <v>9.82</v>
      </c>
      <c r="L336" t="s">
        <v>1289</v>
      </c>
      <c r="M336" s="6">
        <f t="shared" si="11"/>
        <v>5.4585274204844861E-3</v>
      </c>
      <c r="N336" s="6" t="str" cm="1">
        <f t="array" ref="N336">_xlfn.IFS('Data Cleaning &amp; Transf'!H336&lt;500,"LOW",AND('Data Cleaning &amp; Transf'!H336 &gt;500,'Data Cleaning &amp; Transf'!H336&lt;1000),"Medium",'Data Cleaning &amp; Transf'!H336&gt;1000,"High")</f>
        <v>High</v>
      </c>
    </row>
    <row r="337" spans="1:14" x14ac:dyDescent="0.3">
      <c r="A337" t="s">
        <v>346</v>
      </c>
      <c r="B337" s="2" t="s">
        <v>684</v>
      </c>
      <c r="C337" s="9" t="str">
        <f t="shared" si="10"/>
        <v>08-2023</v>
      </c>
      <c r="D337" t="s">
        <v>786</v>
      </c>
      <c r="E337" t="s">
        <v>788</v>
      </c>
      <c r="F337" t="s">
        <v>795</v>
      </c>
      <c r="G337" t="s">
        <v>1044</v>
      </c>
      <c r="H337">
        <v>995.22</v>
      </c>
      <c r="I337">
        <v>4</v>
      </c>
      <c r="J337">
        <v>0.15</v>
      </c>
      <c r="K337">
        <v>81.78</v>
      </c>
      <c r="L337" t="s">
        <v>1289</v>
      </c>
      <c r="M337" s="6">
        <f t="shared" si="11"/>
        <v>8.2172785916681743E-2</v>
      </c>
      <c r="N337" s="6" t="str" cm="1">
        <f t="array" ref="N337">_xlfn.IFS('Data Cleaning &amp; Transf'!H337&lt;500,"LOW",AND('Data Cleaning &amp; Transf'!H337 &gt;500,'Data Cleaning &amp; Transf'!H337&lt;1000),"Medium",'Data Cleaning &amp; Transf'!H337&gt;1000,"High")</f>
        <v>Medium</v>
      </c>
    </row>
    <row r="338" spans="1:14" x14ac:dyDescent="0.3">
      <c r="A338" t="s">
        <v>347</v>
      </c>
      <c r="B338" s="2" t="s">
        <v>717</v>
      </c>
      <c r="C338" s="9" t="str">
        <f t="shared" si="10"/>
        <v>07-2023</v>
      </c>
      <c r="D338" t="s">
        <v>786</v>
      </c>
      <c r="E338" t="s">
        <v>788</v>
      </c>
      <c r="F338" t="s">
        <v>795</v>
      </c>
      <c r="G338" t="s">
        <v>1134</v>
      </c>
      <c r="H338">
        <v>926.55</v>
      </c>
      <c r="I338">
        <v>10</v>
      </c>
      <c r="J338">
        <v>0.2</v>
      </c>
      <c r="K338">
        <v>-18.45</v>
      </c>
      <c r="L338" t="s">
        <v>1291</v>
      </c>
      <c r="M338" s="6">
        <f t="shared" si="11"/>
        <v>-1.9912578921806704E-2</v>
      </c>
      <c r="N338" s="6" t="str" cm="1">
        <f t="array" ref="N338">_xlfn.IFS('Data Cleaning &amp; Transf'!H338&lt;500,"LOW",AND('Data Cleaning &amp; Transf'!H338 &gt;500,'Data Cleaning &amp; Transf'!H338&lt;1000),"Medium",'Data Cleaning &amp; Transf'!H338&gt;1000,"High")</f>
        <v>Medium</v>
      </c>
    </row>
    <row r="339" spans="1:14" x14ac:dyDescent="0.3">
      <c r="A339" t="s">
        <v>348</v>
      </c>
      <c r="B339" s="2" t="s">
        <v>729</v>
      </c>
      <c r="C339" s="9" t="str">
        <f t="shared" si="10"/>
        <v>12-2023</v>
      </c>
      <c r="D339" t="s">
        <v>785</v>
      </c>
      <c r="E339" t="s">
        <v>788</v>
      </c>
      <c r="F339" t="s">
        <v>796</v>
      </c>
      <c r="G339" t="s">
        <v>1063</v>
      </c>
      <c r="H339">
        <v>1671.79</v>
      </c>
      <c r="I339">
        <v>4</v>
      </c>
      <c r="J339">
        <v>0.2</v>
      </c>
      <c r="K339">
        <v>-162.30000000000001</v>
      </c>
      <c r="L339" t="s">
        <v>1289</v>
      </c>
      <c r="M339" s="6">
        <f t="shared" si="11"/>
        <v>-9.7081571249977572E-2</v>
      </c>
      <c r="N339" s="6" t="str" cm="1">
        <f t="array" ref="N339">_xlfn.IFS('Data Cleaning &amp; Transf'!H339&lt;500,"LOW",AND('Data Cleaning &amp; Transf'!H339 &gt;500,'Data Cleaning &amp; Transf'!H339&lt;1000),"Medium",'Data Cleaning &amp; Transf'!H339&gt;1000,"High")</f>
        <v>High</v>
      </c>
    </row>
    <row r="340" spans="1:14" x14ac:dyDescent="0.3">
      <c r="A340" t="s">
        <v>349</v>
      </c>
      <c r="B340" s="2" t="s">
        <v>730</v>
      </c>
      <c r="C340" s="9" t="str">
        <f t="shared" si="10"/>
        <v>09-2023</v>
      </c>
      <c r="D340" t="s">
        <v>785</v>
      </c>
      <c r="E340" t="s">
        <v>789</v>
      </c>
      <c r="F340" t="s">
        <v>799</v>
      </c>
      <c r="G340" t="s">
        <v>1135</v>
      </c>
      <c r="H340">
        <v>1495.32</v>
      </c>
      <c r="I340">
        <v>3</v>
      </c>
      <c r="J340">
        <v>0.05</v>
      </c>
      <c r="K340">
        <v>344.98</v>
      </c>
      <c r="L340" t="s">
        <v>1290</v>
      </c>
      <c r="M340" s="6">
        <f t="shared" si="11"/>
        <v>0.23070647085573659</v>
      </c>
      <c r="N340" s="6" t="str" cm="1">
        <f t="array" ref="N340">_xlfn.IFS('Data Cleaning &amp; Transf'!H340&lt;500,"LOW",AND('Data Cleaning &amp; Transf'!H340 &gt;500,'Data Cleaning &amp; Transf'!H340&lt;1000),"Medium",'Data Cleaning &amp; Transf'!H340&gt;1000,"High")</f>
        <v>High</v>
      </c>
    </row>
    <row r="341" spans="1:14" x14ac:dyDescent="0.3">
      <c r="A341" t="s">
        <v>350</v>
      </c>
      <c r="B341" s="2" t="s">
        <v>690</v>
      </c>
      <c r="C341" s="9" t="str">
        <f t="shared" si="10"/>
        <v>03-2023</v>
      </c>
      <c r="D341" t="s">
        <v>785</v>
      </c>
      <c r="E341" t="s">
        <v>788</v>
      </c>
      <c r="F341" t="s">
        <v>791</v>
      </c>
      <c r="G341" t="s">
        <v>1136</v>
      </c>
      <c r="H341">
        <v>1134.69</v>
      </c>
      <c r="I341">
        <v>6</v>
      </c>
      <c r="J341">
        <v>0</v>
      </c>
      <c r="K341">
        <v>74.760000000000005</v>
      </c>
      <c r="L341" t="s">
        <v>1291</v>
      </c>
      <c r="M341" s="6">
        <f t="shared" si="11"/>
        <v>6.5885836660233191E-2</v>
      </c>
      <c r="N341" s="6" t="str" cm="1">
        <f t="array" ref="N341">_xlfn.IFS('Data Cleaning &amp; Transf'!H341&lt;500,"LOW",AND('Data Cleaning &amp; Transf'!H341 &gt;500,'Data Cleaning &amp; Transf'!H341&lt;1000),"Medium",'Data Cleaning &amp; Transf'!H341&gt;1000,"High")</f>
        <v>High</v>
      </c>
    </row>
    <row r="342" spans="1:14" x14ac:dyDescent="0.3">
      <c r="A342" t="s">
        <v>351</v>
      </c>
      <c r="B342" s="2" t="s">
        <v>555</v>
      </c>
      <c r="C342" s="9" t="str">
        <f t="shared" si="10"/>
        <v>07-2023</v>
      </c>
      <c r="D342" t="s">
        <v>783</v>
      </c>
      <c r="E342" t="s">
        <v>789</v>
      </c>
      <c r="F342" t="s">
        <v>797</v>
      </c>
      <c r="G342" t="s">
        <v>1137</v>
      </c>
      <c r="H342">
        <v>631.26</v>
      </c>
      <c r="I342">
        <v>4</v>
      </c>
      <c r="J342">
        <v>0.1</v>
      </c>
      <c r="K342">
        <v>-6.52</v>
      </c>
      <c r="L342" t="s">
        <v>1289</v>
      </c>
      <c r="M342" s="6">
        <f t="shared" si="11"/>
        <v>-1.0328549250704939E-2</v>
      </c>
      <c r="N342" s="6" t="str" cm="1">
        <f t="array" ref="N342">_xlfn.IFS('Data Cleaning &amp; Transf'!H342&lt;500,"LOW",AND('Data Cleaning &amp; Transf'!H342 &gt;500,'Data Cleaning &amp; Transf'!H342&lt;1000),"Medium",'Data Cleaning &amp; Transf'!H342&gt;1000,"High")</f>
        <v>Medium</v>
      </c>
    </row>
    <row r="343" spans="1:14" x14ac:dyDescent="0.3">
      <c r="A343" t="s">
        <v>352</v>
      </c>
      <c r="B343" s="2" t="s">
        <v>731</v>
      </c>
      <c r="C343" s="9" t="str">
        <f t="shared" si="10"/>
        <v>11-2023</v>
      </c>
      <c r="D343" t="s">
        <v>783</v>
      </c>
      <c r="E343" t="s">
        <v>788</v>
      </c>
      <c r="F343" t="s">
        <v>796</v>
      </c>
      <c r="G343" t="s">
        <v>1138</v>
      </c>
      <c r="H343">
        <v>765.19</v>
      </c>
      <c r="I343">
        <v>10</v>
      </c>
      <c r="J343">
        <v>0.1</v>
      </c>
      <c r="K343">
        <v>132.65</v>
      </c>
      <c r="L343" t="s">
        <v>1289</v>
      </c>
      <c r="M343" s="6">
        <f t="shared" si="11"/>
        <v>0.17335563716201205</v>
      </c>
      <c r="N343" s="6" t="str" cm="1">
        <f t="array" ref="N343">_xlfn.IFS('Data Cleaning &amp; Transf'!H343&lt;500,"LOW",AND('Data Cleaning &amp; Transf'!H343 &gt;500,'Data Cleaning &amp; Transf'!H343&lt;1000),"Medium",'Data Cleaning &amp; Transf'!H343&gt;1000,"High")</f>
        <v>Medium</v>
      </c>
    </row>
    <row r="344" spans="1:14" x14ac:dyDescent="0.3">
      <c r="A344" t="s">
        <v>353</v>
      </c>
      <c r="B344" s="2" t="s">
        <v>652</v>
      </c>
      <c r="C344" s="9" t="str">
        <f t="shared" si="10"/>
        <v>10-2023</v>
      </c>
      <c r="D344" t="s">
        <v>786</v>
      </c>
      <c r="E344" t="s">
        <v>787</v>
      </c>
      <c r="F344" t="s">
        <v>790</v>
      </c>
      <c r="G344" t="s">
        <v>1139</v>
      </c>
      <c r="H344">
        <v>434.64</v>
      </c>
      <c r="I344">
        <v>8</v>
      </c>
      <c r="J344">
        <v>0.1</v>
      </c>
      <c r="K344">
        <v>55.54</v>
      </c>
      <c r="L344" t="s">
        <v>1289</v>
      </c>
      <c r="M344" s="6">
        <f t="shared" si="11"/>
        <v>0.12778391312350451</v>
      </c>
      <c r="N344" s="6" t="str" cm="1">
        <f t="array" ref="N344">_xlfn.IFS('Data Cleaning &amp; Transf'!H344&lt;500,"LOW",AND('Data Cleaning &amp; Transf'!H344 &gt;500,'Data Cleaning &amp; Transf'!H344&lt;1000),"Medium",'Data Cleaning &amp; Transf'!H344&gt;1000,"High")</f>
        <v>LOW</v>
      </c>
    </row>
    <row r="345" spans="1:14" x14ac:dyDescent="0.3">
      <c r="A345" t="s">
        <v>354</v>
      </c>
      <c r="B345" s="2" t="s">
        <v>732</v>
      </c>
      <c r="C345" s="9" t="str">
        <f t="shared" si="10"/>
        <v>05-2023</v>
      </c>
      <c r="D345" t="s">
        <v>784</v>
      </c>
      <c r="E345" t="s">
        <v>788</v>
      </c>
      <c r="F345" t="s">
        <v>796</v>
      </c>
      <c r="G345" t="s">
        <v>1140</v>
      </c>
      <c r="H345">
        <v>1943.58</v>
      </c>
      <c r="I345">
        <v>7</v>
      </c>
      <c r="J345">
        <v>0.15</v>
      </c>
      <c r="K345">
        <v>261.5</v>
      </c>
      <c r="L345" t="s">
        <v>1290</v>
      </c>
      <c r="M345" s="6">
        <f t="shared" si="11"/>
        <v>0.13454552938392039</v>
      </c>
      <c r="N345" s="6" t="str" cm="1">
        <f t="array" ref="N345">_xlfn.IFS('Data Cleaning &amp; Transf'!H345&lt;500,"LOW",AND('Data Cleaning &amp; Transf'!H345 &gt;500,'Data Cleaning &amp; Transf'!H345&lt;1000),"Medium",'Data Cleaning &amp; Transf'!H345&gt;1000,"High")</f>
        <v>High</v>
      </c>
    </row>
    <row r="346" spans="1:14" x14ac:dyDescent="0.3">
      <c r="A346" t="s">
        <v>355</v>
      </c>
      <c r="B346" s="2" t="s">
        <v>733</v>
      </c>
      <c r="C346" s="9" t="str">
        <f t="shared" si="10"/>
        <v>09-2023</v>
      </c>
      <c r="D346" t="s">
        <v>784</v>
      </c>
      <c r="E346" t="s">
        <v>788</v>
      </c>
      <c r="F346" t="s">
        <v>793</v>
      </c>
      <c r="G346" t="s">
        <v>1141</v>
      </c>
      <c r="H346">
        <v>1340.05</v>
      </c>
      <c r="I346">
        <v>10</v>
      </c>
      <c r="J346">
        <v>0.1</v>
      </c>
      <c r="K346">
        <v>76.849999999999994</v>
      </c>
      <c r="L346" t="s">
        <v>1289</v>
      </c>
      <c r="M346" s="6">
        <f t="shared" si="11"/>
        <v>5.7348606395283754E-2</v>
      </c>
      <c r="N346" s="6" t="str" cm="1">
        <f t="array" ref="N346">_xlfn.IFS('Data Cleaning &amp; Transf'!H346&lt;500,"LOW",AND('Data Cleaning &amp; Transf'!H346 &gt;500,'Data Cleaning &amp; Transf'!H346&lt;1000),"Medium",'Data Cleaning &amp; Transf'!H346&gt;1000,"High")</f>
        <v>High</v>
      </c>
    </row>
    <row r="347" spans="1:14" x14ac:dyDescent="0.3">
      <c r="A347" t="s">
        <v>356</v>
      </c>
      <c r="B347" s="2" t="s">
        <v>646</v>
      </c>
      <c r="C347" s="9" t="str">
        <f t="shared" si="10"/>
        <v>10-2023</v>
      </c>
      <c r="D347" t="s">
        <v>785</v>
      </c>
      <c r="E347" t="s">
        <v>789</v>
      </c>
      <c r="F347" t="s">
        <v>794</v>
      </c>
      <c r="G347" t="s">
        <v>1142</v>
      </c>
      <c r="H347">
        <v>1482.2</v>
      </c>
      <c r="I347">
        <v>9</v>
      </c>
      <c r="J347">
        <v>0.05</v>
      </c>
      <c r="K347">
        <v>3.8</v>
      </c>
      <c r="L347" t="s">
        <v>1290</v>
      </c>
      <c r="M347" s="6">
        <f t="shared" si="11"/>
        <v>2.5637565780596409E-3</v>
      </c>
      <c r="N347" s="6" t="str" cm="1">
        <f t="array" ref="N347">_xlfn.IFS('Data Cleaning &amp; Transf'!H347&lt;500,"LOW",AND('Data Cleaning &amp; Transf'!H347 &gt;500,'Data Cleaning &amp; Transf'!H347&lt;1000),"Medium",'Data Cleaning &amp; Transf'!H347&gt;1000,"High")</f>
        <v>High</v>
      </c>
    </row>
    <row r="348" spans="1:14" x14ac:dyDescent="0.3">
      <c r="A348" t="s">
        <v>357</v>
      </c>
      <c r="B348" s="2" t="s">
        <v>642</v>
      </c>
      <c r="C348" s="9" t="str">
        <f t="shared" si="10"/>
        <v>06-2023</v>
      </c>
      <c r="D348" t="s">
        <v>785</v>
      </c>
      <c r="E348" t="s">
        <v>787</v>
      </c>
      <c r="F348" t="s">
        <v>792</v>
      </c>
      <c r="G348" t="s">
        <v>1143</v>
      </c>
      <c r="H348">
        <v>371.59</v>
      </c>
      <c r="I348">
        <v>7</v>
      </c>
      <c r="J348">
        <v>0.2</v>
      </c>
      <c r="K348">
        <v>6.91</v>
      </c>
      <c r="L348" t="s">
        <v>1291</v>
      </c>
      <c r="M348" s="6">
        <f t="shared" si="11"/>
        <v>1.8595764148658468E-2</v>
      </c>
      <c r="N348" s="6" t="str" cm="1">
        <f t="array" ref="N348">_xlfn.IFS('Data Cleaning &amp; Transf'!H348&lt;500,"LOW",AND('Data Cleaning &amp; Transf'!H348 &gt;500,'Data Cleaning &amp; Transf'!H348&lt;1000),"Medium",'Data Cleaning &amp; Transf'!H348&gt;1000,"High")</f>
        <v>LOW</v>
      </c>
    </row>
    <row r="349" spans="1:14" x14ac:dyDescent="0.3">
      <c r="A349" t="s">
        <v>358</v>
      </c>
      <c r="B349" s="2" t="s">
        <v>734</v>
      </c>
      <c r="C349" s="9" t="str">
        <f t="shared" si="10"/>
        <v>03-2023</v>
      </c>
      <c r="D349" t="s">
        <v>785</v>
      </c>
      <c r="E349" t="s">
        <v>787</v>
      </c>
      <c r="F349" t="s">
        <v>800</v>
      </c>
      <c r="G349" t="s">
        <v>1144</v>
      </c>
      <c r="H349">
        <v>1036.07</v>
      </c>
      <c r="I349">
        <v>7</v>
      </c>
      <c r="J349">
        <v>0.15</v>
      </c>
      <c r="K349">
        <v>98.52</v>
      </c>
      <c r="L349" t="s">
        <v>1289</v>
      </c>
      <c r="M349" s="6">
        <f t="shared" si="11"/>
        <v>9.5090100089762278E-2</v>
      </c>
      <c r="N349" s="6" t="str" cm="1">
        <f t="array" ref="N349">_xlfn.IFS('Data Cleaning &amp; Transf'!H349&lt;500,"LOW",AND('Data Cleaning &amp; Transf'!H349 &gt;500,'Data Cleaning &amp; Transf'!H349&lt;1000),"Medium",'Data Cleaning &amp; Transf'!H349&gt;1000,"High")</f>
        <v>High</v>
      </c>
    </row>
    <row r="350" spans="1:14" x14ac:dyDescent="0.3">
      <c r="A350" t="s">
        <v>359</v>
      </c>
      <c r="B350" s="2" t="s">
        <v>619</v>
      </c>
      <c r="C350" s="9" t="str">
        <f t="shared" si="10"/>
        <v>07-2023</v>
      </c>
      <c r="D350" t="s">
        <v>784</v>
      </c>
      <c r="E350" t="s">
        <v>788</v>
      </c>
      <c r="F350" t="s">
        <v>793</v>
      </c>
      <c r="G350" t="s">
        <v>1145</v>
      </c>
      <c r="H350">
        <v>975</v>
      </c>
      <c r="I350">
        <v>10</v>
      </c>
      <c r="J350">
        <v>0.2</v>
      </c>
      <c r="K350">
        <v>95.72</v>
      </c>
      <c r="L350" t="s">
        <v>1290</v>
      </c>
      <c r="M350" s="6">
        <f t="shared" si="11"/>
        <v>9.8174358974358972E-2</v>
      </c>
      <c r="N350" s="6" t="str" cm="1">
        <f t="array" ref="N350">_xlfn.IFS('Data Cleaning &amp; Transf'!H350&lt;500,"LOW",AND('Data Cleaning &amp; Transf'!H350 &gt;500,'Data Cleaning &amp; Transf'!H350&lt;1000),"Medium",'Data Cleaning &amp; Transf'!H350&gt;1000,"High")</f>
        <v>Medium</v>
      </c>
    </row>
    <row r="351" spans="1:14" x14ac:dyDescent="0.3">
      <c r="A351" t="s">
        <v>360</v>
      </c>
      <c r="B351" s="2" t="s">
        <v>735</v>
      </c>
      <c r="C351" s="9" t="str">
        <f t="shared" si="10"/>
        <v>12-2023</v>
      </c>
      <c r="D351" t="s">
        <v>784</v>
      </c>
      <c r="E351" t="s">
        <v>787</v>
      </c>
      <c r="F351" t="s">
        <v>792</v>
      </c>
      <c r="G351" t="s">
        <v>1146</v>
      </c>
      <c r="H351">
        <v>1276.9100000000001</v>
      </c>
      <c r="I351">
        <v>1</v>
      </c>
      <c r="J351">
        <v>0.2</v>
      </c>
      <c r="K351">
        <v>111.39</v>
      </c>
      <c r="L351" t="s">
        <v>1289</v>
      </c>
      <c r="M351" s="6">
        <f t="shared" si="11"/>
        <v>8.7234025890626579E-2</v>
      </c>
      <c r="N351" s="6" t="str" cm="1">
        <f t="array" ref="N351">_xlfn.IFS('Data Cleaning &amp; Transf'!H351&lt;500,"LOW",AND('Data Cleaning &amp; Transf'!H351 &gt;500,'Data Cleaning &amp; Transf'!H351&lt;1000),"Medium",'Data Cleaning &amp; Transf'!H351&gt;1000,"High")</f>
        <v>High</v>
      </c>
    </row>
    <row r="352" spans="1:14" x14ac:dyDescent="0.3">
      <c r="A352" t="s">
        <v>361</v>
      </c>
      <c r="B352" s="2" t="s">
        <v>712</v>
      </c>
      <c r="C352" s="9" t="str">
        <f t="shared" si="10"/>
        <v>03-2023</v>
      </c>
      <c r="D352" t="s">
        <v>786</v>
      </c>
      <c r="E352" t="s">
        <v>787</v>
      </c>
      <c r="F352" t="s">
        <v>800</v>
      </c>
      <c r="G352" t="s">
        <v>1147</v>
      </c>
      <c r="H352">
        <v>910.02</v>
      </c>
      <c r="I352">
        <v>10</v>
      </c>
      <c r="J352">
        <v>0.15</v>
      </c>
      <c r="K352">
        <v>97.43</v>
      </c>
      <c r="L352" t="s">
        <v>1289</v>
      </c>
      <c r="M352" s="6">
        <f t="shared" si="11"/>
        <v>0.10706358102019736</v>
      </c>
      <c r="N352" s="6" t="str" cm="1">
        <f t="array" ref="N352">_xlfn.IFS('Data Cleaning &amp; Transf'!H352&lt;500,"LOW",AND('Data Cleaning &amp; Transf'!H352 &gt;500,'Data Cleaning &amp; Transf'!H352&lt;1000),"Medium",'Data Cleaning &amp; Transf'!H352&gt;1000,"High")</f>
        <v>Medium</v>
      </c>
    </row>
    <row r="353" spans="1:14" x14ac:dyDescent="0.3">
      <c r="A353" t="s">
        <v>362</v>
      </c>
      <c r="B353" s="2" t="s">
        <v>710</v>
      </c>
      <c r="C353" s="9" t="str">
        <f t="shared" si="10"/>
        <v>03-2023</v>
      </c>
      <c r="D353" t="s">
        <v>785</v>
      </c>
      <c r="E353" t="s">
        <v>787</v>
      </c>
      <c r="F353" t="s">
        <v>801</v>
      </c>
      <c r="G353" t="s">
        <v>1148</v>
      </c>
      <c r="H353">
        <v>893.81</v>
      </c>
      <c r="I353">
        <v>2</v>
      </c>
      <c r="J353">
        <v>0.15</v>
      </c>
      <c r="K353">
        <v>8.5299999999999994</v>
      </c>
      <c r="L353" t="s">
        <v>1291</v>
      </c>
      <c r="M353" s="6">
        <f t="shared" si="11"/>
        <v>9.5434152672268149E-3</v>
      </c>
      <c r="N353" s="6" t="str" cm="1">
        <f t="array" ref="N353">_xlfn.IFS('Data Cleaning &amp; Transf'!H353&lt;500,"LOW",AND('Data Cleaning &amp; Transf'!H353 &gt;500,'Data Cleaning &amp; Transf'!H353&lt;1000),"Medium",'Data Cleaning &amp; Transf'!H353&gt;1000,"High")</f>
        <v>Medium</v>
      </c>
    </row>
    <row r="354" spans="1:14" x14ac:dyDescent="0.3">
      <c r="A354" t="s">
        <v>363</v>
      </c>
      <c r="B354" s="2" t="s">
        <v>583</v>
      </c>
      <c r="C354" s="9" t="str">
        <f t="shared" si="10"/>
        <v>04-2023</v>
      </c>
      <c r="D354" t="s">
        <v>784</v>
      </c>
      <c r="E354" t="s">
        <v>788</v>
      </c>
      <c r="F354" t="s">
        <v>796</v>
      </c>
      <c r="G354" t="s">
        <v>1149</v>
      </c>
      <c r="H354">
        <v>1907.42</v>
      </c>
      <c r="I354">
        <v>5</v>
      </c>
      <c r="J354">
        <v>0.1</v>
      </c>
      <c r="K354">
        <v>106.26</v>
      </c>
      <c r="L354" t="s">
        <v>1289</v>
      </c>
      <c r="M354" s="6">
        <f t="shared" si="11"/>
        <v>5.5708758427614267E-2</v>
      </c>
      <c r="N354" s="6" t="str" cm="1">
        <f t="array" ref="N354">_xlfn.IFS('Data Cleaning &amp; Transf'!H354&lt;500,"LOW",AND('Data Cleaning &amp; Transf'!H354 &gt;500,'Data Cleaning &amp; Transf'!H354&lt;1000),"Medium",'Data Cleaning &amp; Transf'!H354&gt;1000,"High")</f>
        <v>High</v>
      </c>
    </row>
    <row r="355" spans="1:14" x14ac:dyDescent="0.3">
      <c r="A355" t="s">
        <v>364</v>
      </c>
      <c r="B355" s="2" t="s">
        <v>663</v>
      </c>
      <c r="C355" s="9" t="str">
        <f t="shared" si="10"/>
        <v>07-2023</v>
      </c>
      <c r="D355" t="s">
        <v>784</v>
      </c>
      <c r="E355" t="s">
        <v>787</v>
      </c>
      <c r="F355" t="s">
        <v>792</v>
      </c>
      <c r="G355" t="s">
        <v>1150</v>
      </c>
      <c r="H355">
        <v>753.64</v>
      </c>
      <c r="I355">
        <v>9</v>
      </c>
      <c r="J355">
        <v>0</v>
      </c>
      <c r="K355">
        <v>44.12</v>
      </c>
      <c r="L355" t="s">
        <v>1291</v>
      </c>
      <c r="M355" s="6">
        <f t="shared" si="11"/>
        <v>5.8542540204872352E-2</v>
      </c>
      <c r="N355" s="6" t="str" cm="1">
        <f t="array" ref="N355">_xlfn.IFS('Data Cleaning &amp; Transf'!H355&lt;500,"LOW",AND('Data Cleaning &amp; Transf'!H355 &gt;500,'Data Cleaning &amp; Transf'!H355&lt;1000),"Medium",'Data Cleaning &amp; Transf'!H355&gt;1000,"High")</f>
        <v>Medium</v>
      </c>
    </row>
    <row r="356" spans="1:14" x14ac:dyDescent="0.3">
      <c r="A356" t="s">
        <v>365</v>
      </c>
      <c r="B356" s="2" t="s">
        <v>714</v>
      </c>
      <c r="C356" s="9" t="str">
        <f t="shared" si="10"/>
        <v>02-2023</v>
      </c>
      <c r="D356" t="s">
        <v>784</v>
      </c>
      <c r="E356" t="s">
        <v>787</v>
      </c>
      <c r="F356" t="s">
        <v>800</v>
      </c>
      <c r="G356" t="s">
        <v>1151</v>
      </c>
      <c r="H356">
        <v>1301.17</v>
      </c>
      <c r="I356">
        <v>8</v>
      </c>
      <c r="J356">
        <v>0.05</v>
      </c>
      <c r="K356">
        <v>104.22</v>
      </c>
      <c r="L356" t="s">
        <v>1289</v>
      </c>
      <c r="M356" s="6">
        <f t="shared" si="11"/>
        <v>8.0097143340224566E-2</v>
      </c>
      <c r="N356" s="6" t="str" cm="1">
        <f t="array" ref="N356">_xlfn.IFS('Data Cleaning &amp; Transf'!H356&lt;500,"LOW",AND('Data Cleaning &amp; Transf'!H356 &gt;500,'Data Cleaning &amp; Transf'!H356&lt;1000),"Medium",'Data Cleaning &amp; Transf'!H356&gt;1000,"High")</f>
        <v>High</v>
      </c>
    </row>
    <row r="357" spans="1:14" x14ac:dyDescent="0.3">
      <c r="A357" t="s">
        <v>366</v>
      </c>
      <c r="B357" s="2" t="s">
        <v>562</v>
      </c>
      <c r="C357" s="9" t="str">
        <f t="shared" si="10"/>
        <v>05-2023</v>
      </c>
      <c r="D357" t="s">
        <v>786</v>
      </c>
      <c r="E357" t="s">
        <v>787</v>
      </c>
      <c r="F357" t="s">
        <v>792</v>
      </c>
      <c r="G357" t="s">
        <v>1152</v>
      </c>
      <c r="H357">
        <v>1150.98</v>
      </c>
      <c r="I357">
        <v>2</v>
      </c>
      <c r="J357">
        <v>0.2</v>
      </c>
      <c r="K357">
        <v>109.76</v>
      </c>
      <c r="L357" t="s">
        <v>1289</v>
      </c>
      <c r="M357" s="6">
        <f t="shared" si="11"/>
        <v>9.5362213070600707E-2</v>
      </c>
      <c r="N357" s="6" t="str" cm="1">
        <f t="array" ref="N357">_xlfn.IFS('Data Cleaning &amp; Transf'!H357&lt;500,"LOW",AND('Data Cleaning &amp; Transf'!H357 &gt;500,'Data Cleaning &amp; Transf'!H357&lt;1000),"Medium",'Data Cleaning &amp; Transf'!H357&gt;1000,"High")</f>
        <v>High</v>
      </c>
    </row>
    <row r="358" spans="1:14" x14ac:dyDescent="0.3">
      <c r="A358" t="s">
        <v>367</v>
      </c>
      <c r="B358" s="2" t="s">
        <v>736</v>
      </c>
      <c r="C358" s="9" t="str">
        <f t="shared" si="10"/>
        <v>03-2023</v>
      </c>
      <c r="D358" t="s">
        <v>786</v>
      </c>
      <c r="E358" t="s">
        <v>788</v>
      </c>
      <c r="F358" t="s">
        <v>791</v>
      </c>
      <c r="G358" t="s">
        <v>1153</v>
      </c>
      <c r="H358">
        <v>61.83</v>
      </c>
      <c r="I358">
        <v>1</v>
      </c>
      <c r="J358">
        <v>0.1</v>
      </c>
      <c r="K358">
        <v>-0.51</v>
      </c>
      <c r="L358" t="s">
        <v>1290</v>
      </c>
      <c r="M358" s="6">
        <f t="shared" si="11"/>
        <v>-8.2484230955846682E-3</v>
      </c>
      <c r="N358" s="6" t="str" cm="1">
        <f t="array" ref="N358">_xlfn.IFS('Data Cleaning &amp; Transf'!H358&lt;500,"LOW",AND('Data Cleaning &amp; Transf'!H358 &gt;500,'Data Cleaning &amp; Transf'!H358&lt;1000),"Medium",'Data Cleaning &amp; Transf'!H358&gt;1000,"High")</f>
        <v>LOW</v>
      </c>
    </row>
    <row r="359" spans="1:14" x14ac:dyDescent="0.3">
      <c r="A359" t="s">
        <v>368</v>
      </c>
      <c r="B359" s="2" t="s">
        <v>737</v>
      </c>
      <c r="C359" s="9" t="str">
        <f t="shared" si="10"/>
        <v>12-2023</v>
      </c>
      <c r="D359" t="s">
        <v>785</v>
      </c>
      <c r="E359" t="s">
        <v>789</v>
      </c>
      <c r="F359" t="s">
        <v>797</v>
      </c>
      <c r="G359" t="s">
        <v>1154</v>
      </c>
      <c r="H359">
        <v>100.28</v>
      </c>
      <c r="I359">
        <v>6</v>
      </c>
      <c r="J359">
        <v>0.15</v>
      </c>
      <c r="K359">
        <v>12.7</v>
      </c>
      <c r="L359" t="s">
        <v>1290</v>
      </c>
      <c r="M359" s="6">
        <f t="shared" si="11"/>
        <v>0.12664539289988033</v>
      </c>
      <c r="N359" s="6" t="str" cm="1">
        <f t="array" ref="N359">_xlfn.IFS('Data Cleaning &amp; Transf'!H359&lt;500,"LOW",AND('Data Cleaning &amp; Transf'!H359 &gt;500,'Data Cleaning &amp; Transf'!H359&lt;1000),"Medium",'Data Cleaning &amp; Transf'!H359&gt;1000,"High")</f>
        <v>LOW</v>
      </c>
    </row>
    <row r="360" spans="1:14" x14ac:dyDescent="0.3">
      <c r="A360" t="s">
        <v>369</v>
      </c>
      <c r="B360" s="2" t="s">
        <v>614</v>
      </c>
      <c r="C360" s="9" t="str">
        <f t="shared" si="10"/>
        <v>01-2023</v>
      </c>
      <c r="D360" t="s">
        <v>785</v>
      </c>
      <c r="E360" t="s">
        <v>787</v>
      </c>
      <c r="F360" t="s">
        <v>790</v>
      </c>
      <c r="G360" t="s">
        <v>1155</v>
      </c>
      <c r="H360">
        <v>1503.22</v>
      </c>
      <c r="I360">
        <v>10</v>
      </c>
      <c r="J360">
        <v>0.05</v>
      </c>
      <c r="K360">
        <v>238.52</v>
      </c>
      <c r="L360" t="s">
        <v>1290</v>
      </c>
      <c r="M360" s="6">
        <f t="shared" si="11"/>
        <v>0.15867271590319448</v>
      </c>
      <c r="N360" s="6" t="str" cm="1">
        <f t="array" ref="N360">_xlfn.IFS('Data Cleaning &amp; Transf'!H360&lt;500,"LOW",AND('Data Cleaning &amp; Transf'!H360 &gt;500,'Data Cleaning &amp; Transf'!H360&lt;1000),"Medium",'Data Cleaning &amp; Transf'!H360&gt;1000,"High")</f>
        <v>High</v>
      </c>
    </row>
    <row r="361" spans="1:14" x14ac:dyDescent="0.3">
      <c r="A361" t="s">
        <v>370</v>
      </c>
      <c r="B361" s="2" t="s">
        <v>738</v>
      </c>
      <c r="C361" s="9" t="str">
        <f t="shared" si="10"/>
        <v>05-2023</v>
      </c>
      <c r="D361" t="s">
        <v>783</v>
      </c>
      <c r="E361" t="s">
        <v>789</v>
      </c>
      <c r="F361" t="s">
        <v>798</v>
      </c>
      <c r="G361" t="s">
        <v>1156</v>
      </c>
      <c r="H361">
        <v>129.33000000000001</v>
      </c>
      <c r="I361">
        <v>2</v>
      </c>
      <c r="J361">
        <v>0.05</v>
      </c>
      <c r="K361">
        <v>19.91</v>
      </c>
      <c r="L361" t="s">
        <v>1289</v>
      </c>
      <c r="M361" s="6">
        <f t="shared" si="11"/>
        <v>0.15394726668213096</v>
      </c>
      <c r="N361" s="6" t="str" cm="1">
        <f t="array" ref="N361">_xlfn.IFS('Data Cleaning &amp; Transf'!H361&lt;500,"LOW",AND('Data Cleaning &amp; Transf'!H361 &gt;500,'Data Cleaning &amp; Transf'!H361&lt;1000),"Medium",'Data Cleaning &amp; Transf'!H361&gt;1000,"High")</f>
        <v>LOW</v>
      </c>
    </row>
    <row r="362" spans="1:14" x14ac:dyDescent="0.3">
      <c r="A362" t="s">
        <v>371</v>
      </c>
      <c r="B362" s="2" t="s">
        <v>686</v>
      </c>
      <c r="C362" s="9" t="str">
        <f t="shared" si="10"/>
        <v>08-2023</v>
      </c>
      <c r="D362" t="s">
        <v>784</v>
      </c>
      <c r="E362" t="s">
        <v>789</v>
      </c>
      <c r="F362" t="s">
        <v>798</v>
      </c>
      <c r="G362" t="s">
        <v>1157</v>
      </c>
      <c r="H362">
        <v>1556.69</v>
      </c>
      <c r="I362">
        <v>8</v>
      </c>
      <c r="J362">
        <v>0.2</v>
      </c>
      <c r="K362">
        <v>56.76</v>
      </c>
      <c r="L362" t="s">
        <v>1290</v>
      </c>
      <c r="M362" s="6">
        <f t="shared" si="11"/>
        <v>3.6461980227277105E-2</v>
      </c>
      <c r="N362" s="6" t="str" cm="1">
        <f t="array" ref="N362">_xlfn.IFS('Data Cleaning &amp; Transf'!H362&lt;500,"LOW",AND('Data Cleaning &amp; Transf'!H362 &gt;500,'Data Cleaning &amp; Transf'!H362&lt;1000),"Medium",'Data Cleaning &amp; Transf'!H362&gt;1000,"High")</f>
        <v>High</v>
      </c>
    </row>
    <row r="363" spans="1:14" x14ac:dyDescent="0.3">
      <c r="A363" t="s">
        <v>372</v>
      </c>
      <c r="B363" s="2" t="s">
        <v>739</v>
      </c>
      <c r="C363" s="9" t="str">
        <f t="shared" si="10"/>
        <v>08-2023</v>
      </c>
      <c r="D363" t="s">
        <v>786</v>
      </c>
      <c r="E363" t="s">
        <v>789</v>
      </c>
      <c r="F363" t="s">
        <v>797</v>
      </c>
      <c r="G363" t="s">
        <v>1158</v>
      </c>
      <c r="H363">
        <v>1598.85</v>
      </c>
      <c r="I363">
        <v>7</v>
      </c>
      <c r="J363">
        <v>0.15</v>
      </c>
      <c r="K363">
        <v>185.68</v>
      </c>
      <c r="L363" t="s">
        <v>1289</v>
      </c>
      <c r="M363" s="6">
        <f t="shared" si="11"/>
        <v>0.11613347093223256</v>
      </c>
      <c r="N363" s="6" t="str" cm="1">
        <f t="array" ref="N363">_xlfn.IFS('Data Cleaning &amp; Transf'!H363&lt;500,"LOW",AND('Data Cleaning &amp; Transf'!H363 &gt;500,'Data Cleaning &amp; Transf'!H363&lt;1000),"Medium",'Data Cleaning &amp; Transf'!H363&gt;1000,"High")</f>
        <v>High</v>
      </c>
    </row>
    <row r="364" spans="1:14" x14ac:dyDescent="0.3">
      <c r="A364" t="s">
        <v>373</v>
      </c>
      <c r="B364" s="2" t="s">
        <v>637</v>
      </c>
      <c r="C364" s="9" t="str">
        <f t="shared" si="10"/>
        <v>10-2023</v>
      </c>
      <c r="D364" t="s">
        <v>783</v>
      </c>
      <c r="E364" t="s">
        <v>789</v>
      </c>
      <c r="F364" t="s">
        <v>798</v>
      </c>
      <c r="G364" t="s">
        <v>1159</v>
      </c>
      <c r="H364">
        <v>904.39</v>
      </c>
      <c r="I364">
        <v>4</v>
      </c>
      <c r="J364">
        <v>0.1</v>
      </c>
      <c r="K364">
        <v>18.239999999999998</v>
      </c>
      <c r="L364" t="s">
        <v>1290</v>
      </c>
      <c r="M364" s="6">
        <f t="shared" si="11"/>
        <v>2.0168290228772985E-2</v>
      </c>
      <c r="N364" s="6" t="str" cm="1">
        <f t="array" ref="N364">_xlfn.IFS('Data Cleaning &amp; Transf'!H364&lt;500,"LOW",AND('Data Cleaning &amp; Transf'!H364 &gt;500,'Data Cleaning &amp; Transf'!H364&lt;1000),"Medium",'Data Cleaning &amp; Transf'!H364&gt;1000,"High")</f>
        <v>Medium</v>
      </c>
    </row>
    <row r="365" spans="1:14" x14ac:dyDescent="0.3">
      <c r="A365" t="s">
        <v>374</v>
      </c>
      <c r="B365" s="2" t="s">
        <v>740</v>
      </c>
      <c r="C365" s="9" t="str">
        <f t="shared" si="10"/>
        <v>05-2023</v>
      </c>
      <c r="D365" t="s">
        <v>783</v>
      </c>
      <c r="E365" t="s">
        <v>789</v>
      </c>
      <c r="F365" t="s">
        <v>798</v>
      </c>
      <c r="G365" t="s">
        <v>1160</v>
      </c>
      <c r="H365">
        <v>235.01</v>
      </c>
      <c r="I365">
        <v>5</v>
      </c>
      <c r="J365">
        <v>0.1</v>
      </c>
      <c r="K365">
        <v>19.850000000000001</v>
      </c>
      <c r="L365" t="s">
        <v>1290</v>
      </c>
      <c r="M365" s="6">
        <f t="shared" si="11"/>
        <v>8.4464490872728823E-2</v>
      </c>
      <c r="N365" s="6" t="str" cm="1">
        <f t="array" ref="N365">_xlfn.IFS('Data Cleaning &amp; Transf'!H365&lt;500,"LOW",AND('Data Cleaning &amp; Transf'!H365 &gt;500,'Data Cleaning &amp; Transf'!H365&lt;1000),"Medium",'Data Cleaning &amp; Transf'!H365&gt;1000,"High")</f>
        <v>LOW</v>
      </c>
    </row>
    <row r="366" spans="1:14" x14ac:dyDescent="0.3">
      <c r="A366" t="s">
        <v>375</v>
      </c>
      <c r="B366" s="2" t="s">
        <v>600</v>
      </c>
      <c r="C366" s="9" t="str">
        <f t="shared" si="10"/>
        <v>09-2023</v>
      </c>
      <c r="D366" t="s">
        <v>786</v>
      </c>
      <c r="E366" t="s">
        <v>787</v>
      </c>
      <c r="F366" t="s">
        <v>792</v>
      </c>
      <c r="G366" t="s">
        <v>1161</v>
      </c>
      <c r="H366">
        <v>1148.83</v>
      </c>
      <c r="I366">
        <v>10</v>
      </c>
      <c r="J366">
        <v>0.2</v>
      </c>
      <c r="K366">
        <v>-84.36</v>
      </c>
      <c r="L366" t="s">
        <v>1290</v>
      </c>
      <c r="M366" s="6">
        <f t="shared" si="11"/>
        <v>-7.3431230034034636E-2</v>
      </c>
      <c r="N366" s="6" t="str" cm="1">
        <f t="array" ref="N366">_xlfn.IFS('Data Cleaning &amp; Transf'!H366&lt;500,"LOW",AND('Data Cleaning &amp; Transf'!H366 &gt;500,'Data Cleaning &amp; Transf'!H366&lt;1000),"Medium",'Data Cleaning &amp; Transf'!H366&gt;1000,"High")</f>
        <v>High</v>
      </c>
    </row>
    <row r="367" spans="1:14" x14ac:dyDescent="0.3">
      <c r="A367" t="s">
        <v>376</v>
      </c>
      <c r="B367" s="2" t="s">
        <v>514</v>
      </c>
      <c r="C367" s="9" t="str">
        <f t="shared" si="10"/>
        <v>09-2023</v>
      </c>
      <c r="D367" t="s">
        <v>784</v>
      </c>
      <c r="E367" t="s">
        <v>789</v>
      </c>
      <c r="F367" t="s">
        <v>798</v>
      </c>
      <c r="G367" t="s">
        <v>1162</v>
      </c>
      <c r="H367">
        <v>1649.39</v>
      </c>
      <c r="I367">
        <v>6</v>
      </c>
      <c r="J367">
        <v>0.1</v>
      </c>
      <c r="K367">
        <v>121.62</v>
      </c>
      <c r="L367" t="s">
        <v>1291</v>
      </c>
      <c r="M367" s="6">
        <f t="shared" si="11"/>
        <v>7.3736351014617521E-2</v>
      </c>
      <c r="N367" s="6" t="str" cm="1">
        <f t="array" ref="N367">_xlfn.IFS('Data Cleaning &amp; Transf'!H367&lt;500,"LOW",AND('Data Cleaning &amp; Transf'!H367 &gt;500,'Data Cleaning &amp; Transf'!H367&lt;1000),"Medium",'Data Cleaning &amp; Transf'!H367&gt;1000,"High")</f>
        <v>High</v>
      </c>
    </row>
    <row r="368" spans="1:14" x14ac:dyDescent="0.3">
      <c r="A368" t="s">
        <v>377</v>
      </c>
      <c r="B368" s="2" t="s">
        <v>703</v>
      </c>
      <c r="C368" s="9" t="str">
        <f t="shared" si="10"/>
        <v>02-2023</v>
      </c>
      <c r="D368" t="s">
        <v>785</v>
      </c>
      <c r="E368" t="s">
        <v>787</v>
      </c>
      <c r="F368" t="s">
        <v>800</v>
      </c>
      <c r="G368" t="s">
        <v>1163</v>
      </c>
      <c r="H368">
        <v>847.77</v>
      </c>
      <c r="I368">
        <v>6</v>
      </c>
      <c r="J368">
        <v>0.2</v>
      </c>
      <c r="K368">
        <v>-45.72</v>
      </c>
      <c r="L368" t="s">
        <v>1291</v>
      </c>
      <c r="M368" s="6">
        <f t="shared" si="11"/>
        <v>-5.3929721504653381E-2</v>
      </c>
      <c r="N368" s="6" t="str" cm="1">
        <f t="array" ref="N368">_xlfn.IFS('Data Cleaning &amp; Transf'!H368&lt;500,"LOW",AND('Data Cleaning &amp; Transf'!H368 &gt;500,'Data Cleaning &amp; Transf'!H368&lt;1000),"Medium",'Data Cleaning &amp; Transf'!H368&gt;1000,"High")</f>
        <v>Medium</v>
      </c>
    </row>
    <row r="369" spans="1:14" x14ac:dyDescent="0.3">
      <c r="A369" t="s">
        <v>378</v>
      </c>
      <c r="B369" s="2" t="s">
        <v>741</v>
      </c>
      <c r="C369" s="9" t="str">
        <f t="shared" si="10"/>
        <v>07-2023</v>
      </c>
      <c r="D369" t="s">
        <v>786</v>
      </c>
      <c r="E369" t="s">
        <v>788</v>
      </c>
      <c r="F369" t="s">
        <v>791</v>
      </c>
      <c r="G369" t="s">
        <v>1164</v>
      </c>
      <c r="H369">
        <v>577.38</v>
      </c>
      <c r="I369">
        <v>7</v>
      </c>
      <c r="J369">
        <v>0.05</v>
      </c>
      <c r="K369">
        <v>21.81</v>
      </c>
      <c r="L369" t="s">
        <v>1290</v>
      </c>
      <c r="M369" s="6">
        <f t="shared" si="11"/>
        <v>3.7774082926322353E-2</v>
      </c>
      <c r="N369" s="6" t="str" cm="1">
        <f t="array" ref="N369">_xlfn.IFS('Data Cleaning &amp; Transf'!H369&lt;500,"LOW",AND('Data Cleaning &amp; Transf'!H369 &gt;500,'Data Cleaning &amp; Transf'!H369&lt;1000),"Medium",'Data Cleaning &amp; Transf'!H369&gt;1000,"High")</f>
        <v>Medium</v>
      </c>
    </row>
    <row r="370" spans="1:14" x14ac:dyDescent="0.3">
      <c r="A370" t="s">
        <v>379</v>
      </c>
      <c r="B370" s="2" t="s">
        <v>742</v>
      </c>
      <c r="C370" s="9" t="str">
        <f t="shared" si="10"/>
        <v>01-2023</v>
      </c>
      <c r="D370" t="s">
        <v>783</v>
      </c>
      <c r="E370" t="s">
        <v>788</v>
      </c>
      <c r="F370" t="s">
        <v>793</v>
      </c>
      <c r="G370" t="s">
        <v>1165</v>
      </c>
      <c r="H370">
        <v>974.77</v>
      </c>
      <c r="I370">
        <v>4</v>
      </c>
      <c r="J370">
        <v>0.1</v>
      </c>
      <c r="K370">
        <v>32.93</v>
      </c>
      <c r="L370" t="s">
        <v>1289</v>
      </c>
      <c r="M370" s="6">
        <f t="shared" si="11"/>
        <v>3.3782328138945598E-2</v>
      </c>
      <c r="N370" s="6" t="str" cm="1">
        <f t="array" ref="N370">_xlfn.IFS('Data Cleaning &amp; Transf'!H370&lt;500,"LOW",AND('Data Cleaning &amp; Transf'!H370 &gt;500,'Data Cleaning &amp; Transf'!H370&lt;1000),"Medium",'Data Cleaning &amp; Transf'!H370&gt;1000,"High")</f>
        <v>Medium</v>
      </c>
    </row>
    <row r="371" spans="1:14" x14ac:dyDescent="0.3">
      <c r="A371" t="s">
        <v>380</v>
      </c>
      <c r="B371" s="2" t="s">
        <v>708</v>
      </c>
      <c r="C371" s="9" t="str">
        <f t="shared" si="10"/>
        <v>11-2023</v>
      </c>
      <c r="D371" t="s">
        <v>784</v>
      </c>
      <c r="E371" t="s">
        <v>787</v>
      </c>
      <c r="F371" t="s">
        <v>792</v>
      </c>
      <c r="G371" t="s">
        <v>1166</v>
      </c>
      <c r="H371">
        <v>52.02</v>
      </c>
      <c r="I371">
        <v>8</v>
      </c>
      <c r="J371">
        <v>0.2</v>
      </c>
      <c r="K371">
        <v>-0.96</v>
      </c>
      <c r="L371" t="s">
        <v>1290</v>
      </c>
      <c r="M371" s="6">
        <f t="shared" si="11"/>
        <v>-1.8454440599769317E-2</v>
      </c>
      <c r="N371" s="6" t="str" cm="1">
        <f t="array" ref="N371">_xlfn.IFS('Data Cleaning &amp; Transf'!H371&lt;500,"LOW",AND('Data Cleaning &amp; Transf'!H371 &gt;500,'Data Cleaning &amp; Transf'!H371&lt;1000),"Medium",'Data Cleaning &amp; Transf'!H371&gt;1000,"High")</f>
        <v>LOW</v>
      </c>
    </row>
    <row r="372" spans="1:14" x14ac:dyDescent="0.3">
      <c r="A372" t="s">
        <v>381</v>
      </c>
      <c r="B372" s="2" t="s">
        <v>743</v>
      </c>
      <c r="C372" s="9" t="str">
        <f t="shared" si="10"/>
        <v>05-2023</v>
      </c>
      <c r="D372" t="s">
        <v>783</v>
      </c>
      <c r="E372" t="s">
        <v>788</v>
      </c>
      <c r="F372" t="s">
        <v>791</v>
      </c>
      <c r="G372" t="s">
        <v>1167</v>
      </c>
      <c r="H372">
        <v>720.99</v>
      </c>
      <c r="I372">
        <v>9</v>
      </c>
      <c r="J372">
        <v>0.2</v>
      </c>
      <c r="K372">
        <v>55.41</v>
      </c>
      <c r="L372" t="s">
        <v>1291</v>
      </c>
      <c r="M372" s="6">
        <f t="shared" si="11"/>
        <v>7.6852660924562055E-2</v>
      </c>
      <c r="N372" s="6" t="str" cm="1">
        <f t="array" ref="N372">_xlfn.IFS('Data Cleaning &amp; Transf'!H372&lt;500,"LOW",AND('Data Cleaning &amp; Transf'!H372 &gt;500,'Data Cleaning &amp; Transf'!H372&lt;1000),"Medium",'Data Cleaning &amp; Transf'!H372&gt;1000,"High")</f>
        <v>Medium</v>
      </c>
    </row>
    <row r="373" spans="1:14" x14ac:dyDescent="0.3">
      <c r="A373" t="s">
        <v>382</v>
      </c>
      <c r="B373" s="2" t="s">
        <v>567</v>
      </c>
      <c r="C373" s="9" t="str">
        <f t="shared" si="10"/>
        <v>08-2023</v>
      </c>
      <c r="D373" t="s">
        <v>785</v>
      </c>
      <c r="E373" t="s">
        <v>789</v>
      </c>
      <c r="F373" t="s">
        <v>798</v>
      </c>
      <c r="G373" t="s">
        <v>1168</v>
      </c>
      <c r="H373">
        <v>1353</v>
      </c>
      <c r="I373">
        <v>3</v>
      </c>
      <c r="J373">
        <v>0.05</v>
      </c>
      <c r="K373">
        <v>44.53</v>
      </c>
      <c r="L373" t="s">
        <v>1290</v>
      </c>
      <c r="M373" s="6">
        <f t="shared" si="11"/>
        <v>3.2912047302291206E-2</v>
      </c>
      <c r="N373" s="6" t="str" cm="1">
        <f t="array" ref="N373">_xlfn.IFS('Data Cleaning &amp; Transf'!H373&lt;500,"LOW",AND('Data Cleaning &amp; Transf'!H373 &gt;500,'Data Cleaning &amp; Transf'!H373&lt;1000),"Medium",'Data Cleaning &amp; Transf'!H373&gt;1000,"High")</f>
        <v>High</v>
      </c>
    </row>
    <row r="374" spans="1:14" x14ac:dyDescent="0.3">
      <c r="A374" t="s">
        <v>383</v>
      </c>
      <c r="B374" s="2" t="s">
        <v>744</v>
      </c>
      <c r="C374" s="9" t="str">
        <f t="shared" si="10"/>
        <v>12-2023</v>
      </c>
      <c r="D374" t="s">
        <v>783</v>
      </c>
      <c r="E374" t="s">
        <v>788</v>
      </c>
      <c r="F374" t="s">
        <v>796</v>
      </c>
      <c r="G374" t="s">
        <v>1169</v>
      </c>
      <c r="H374">
        <v>1212.96</v>
      </c>
      <c r="I374">
        <v>6</v>
      </c>
      <c r="J374">
        <v>0.2</v>
      </c>
      <c r="K374">
        <v>-124.1</v>
      </c>
      <c r="L374" t="s">
        <v>1291</v>
      </c>
      <c r="M374" s="6">
        <f t="shared" si="11"/>
        <v>-0.10231170030339004</v>
      </c>
      <c r="N374" s="6" t="str" cm="1">
        <f t="array" ref="N374">_xlfn.IFS('Data Cleaning &amp; Transf'!H374&lt;500,"LOW",AND('Data Cleaning &amp; Transf'!H374 &gt;500,'Data Cleaning &amp; Transf'!H374&lt;1000),"Medium",'Data Cleaning &amp; Transf'!H374&gt;1000,"High")</f>
        <v>High</v>
      </c>
    </row>
    <row r="375" spans="1:14" x14ac:dyDescent="0.3">
      <c r="A375" t="s">
        <v>384</v>
      </c>
      <c r="B375" s="2" t="s">
        <v>530</v>
      </c>
      <c r="C375" s="9" t="str">
        <f t="shared" si="10"/>
        <v>04-2023</v>
      </c>
      <c r="D375" t="s">
        <v>786</v>
      </c>
      <c r="E375" t="s">
        <v>787</v>
      </c>
      <c r="F375" t="s">
        <v>790</v>
      </c>
      <c r="G375" t="s">
        <v>1170</v>
      </c>
      <c r="H375">
        <v>437.61</v>
      </c>
      <c r="I375">
        <v>7</v>
      </c>
      <c r="J375">
        <v>0.05</v>
      </c>
      <c r="K375">
        <v>65.27</v>
      </c>
      <c r="L375" t="s">
        <v>1290</v>
      </c>
      <c r="M375" s="6">
        <f t="shared" si="11"/>
        <v>0.14915107058796645</v>
      </c>
      <c r="N375" s="6" t="str" cm="1">
        <f t="array" ref="N375">_xlfn.IFS('Data Cleaning &amp; Transf'!H375&lt;500,"LOW",AND('Data Cleaning &amp; Transf'!H375 &gt;500,'Data Cleaning &amp; Transf'!H375&lt;1000),"Medium",'Data Cleaning &amp; Transf'!H375&gt;1000,"High")</f>
        <v>LOW</v>
      </c>
    </row>
    <row r="376" spans="1:14" x14ac:dyDescent="0.3">
      <c r="A376" t="s">
        <v>385</v>
      </c>
      <c r="B376" s="2" t="s">
        <v>745</v>
      </c>
      <c r="C376" s="9" t="str">
        <f t="shared" si="10"/>
        <v>11-2023</v>
      </c>
      <c r="D376" t="s">
        <v>785</v>
      </c>
      <c r="E376" t="s">
        <v>788</v>
      </c>
      <c r="F376" t="s">
        <v>791</v>
      </c>
      <c r="G376" t="s">
        <v>1171</v>
      </c>
      <c r="H376">
        <v>1063.45</v>
      </c>
      <c r="I376">
        <v>9</v>
      </c>
      <c r="J376">
        <v>0.1</v>
      </c>
      <c r="K376">
        <v>157.5</v>
      </c>
      <c r="L376" t="s">
        <v>1291</v>
      </c>
      <c r="M376" s="6">
        <f t="shared" si="11"/>
        <v>0.14810287272556302</v>
      </c>
      <c r="N376" s="6" t="str" cm="1">
        <f t="array" ref="N376">_xlfn.IFS('Data Cleaning &amp; Transf'!H376&lt;500,"LOW",AND('Data Cleaning &amp; Transf'!H376 &gt;500,'Data Cleaning &amp; Transf'!H376&lt;1000),"Medium",'Data Cleaning &amp; Transf'!H376&gt;1000,"High")</f>
        <v>High</v>
      </c>
    </row>
    <row r="377" spans="1:14" x14ac:dyDescent="0.3">
      <c r="A377" t="s">
        <v>386</v>
      </c>
      <c r="B377" s="2" t="s">
        <v>746</v>
      </c>
      <c r="C377" s="9" t="str">
        <f t="shared" si="10"/>
        <v>09-2023</v>
      </c>
      <c r="D377" t="s">
        <v>783</v>
      </c>
      <c r="E377" t="s">
        <v>789</v>
      </c>
      <c r="F377" t="s">
        <v>799</v>
      </c>
      <c r="G377" t="s">
        <v>1172</v>
      </c>
      <c r="H377">
        <v>1886.27</v>
      </c>
      <c r="I377">
        <v>8</v>
      </c>
      <c r="J377">
        <v>0</v>
      </c>
      <c r="K377">
        <v>511.28</v>
      </c>
      <c r="L377" t="s">
        <v>1289</v>
      </c>
      <c r="M377" s="6">
        <f t="shared" si="11"/>
        <v>0.27105345470160686</v>
      </c>
      <c r="N377" s="6" t="str" cm="1">
        <f t="array" ref="N377">_xlfn.IFS('Data Cleaning &amp; Transf'!H377&lt;500,"LOW",AND('Data Cleaning &amp; Transf'!H377 &gt;500,'Data Cleaning &amp; Transf'!H377&lt;1000),"Medium",'Data Cleaning &amp; Transf'!H377&gt;1000,"High")</f>
        <v>High</v>
      </c>
    </row>
    <row r="378" spans="1:14" x14ac:dyDescent="0.3">
      <c r="A378" t="s">
        <v>387</v>
      </c>
      <c r="B378" s="2" t="s">
        <v>639</v>
      </c>
      <c r="C378" s="9" t="str">
        <f t="shared" si="10"/>
        <v>03-2023</v>
      </c>
      <c r="D378" t="s">
        <v>784</v>
      </c>
      <c r="E378" t="s">
        <v>788</v>
      </c>
      <c r="F378" t="s">
        <v>793</v>
      </c>
      <c r="G378" t="s">
        <v>1173</v>
      </c>
      <c r="H378">
        <v>742.86</v>
      </c>
      <c r="I378">
        <v>10</v>
      </c>
      <c r="J378">
        <v>0.1</v>
      </c>
      <c r="K378">
        <v>146.06</v>
      </c>
      <c r="L378" t="s">
        <v>1289</v>
      </c>
      <c r="M378" s="6">
        <f t="shared" si="11"/>
        <v>0.19661847454432868</v>
      </c>
      <c r="N378" s="6" t="str" cm="1">
        <f t="array" ref="N378">_xlfn.IFS('Data Cleaning &amp; Transf'!H378&lt;500,"LOW",AND('Data Cleaning &amp; Transf'!H378 &gt;500,'Data Cleaning &amp; Transf'!H378&lt;1000),"Medium",'Data Cleaning &amp; Transf'!H378&gt;1000,"High")</f>
        <v>Medium</v>
      </c>
    </row>
    <row r="379" spans="1:14" x14ac:dyDescent="0.3">
      <c r="A379" t="s">
        <v>388</v>
      </c>
      <c r="B379" s="2" t="s">
        <v>747</v>
      </c>
      <c r="C379" s="9" t="str">
        <f t="shared" si="10"/>
        <v>08-2023</v>
      </c>
      <c r="D379" t="s">
        <v>786</v>
      </c>
      <c r="E379" t="s">
        <v>788</v>
      </c>
      <c r="F379" t="s">
        <v>793</v>
      </c>
      <c r="G379" t="s">
        <v>1174</v>
      </c>
      <c r="H379">
        <v>639.03</v>
      </c>
      <c r="I379">
        <v>3</v>
      </c>
      <c r="J379">
        <v>0.05</v>
      </c>
      <c r="K379">
        <v>81.72</v>
      </c>
      <c r="L379" t="s">
        <v>1291</v>
      </c>
      <c r="M379" s="6">
        <f t="shared" si="11"/>
        <v>0.12788132012581568</v>
      </c>
      <c r="N379" s="6" t="str" cm="1">
        <f t="array" ref="N379">_xlfn.IFS('Data Cleaning &amp; Transf'!H379&lt;500,"LOW",AND('Data Cleaning &amp; Transf'!H379 &gt;500,'Data Cleaning &amp; Transf'!H379&lt;1000),"Medium",'Data Cleaning &amp; Transf'!H379&gt;1000,"High")</f>
        <v>Medium</v>
      </c>
    </row>
    <row r="380" spans="1:14" x14ac:dyDescent="0.3">
      <c r="A380" t="s">
        <v>389</v>
      </c>
      <c r="B380" s="2" t="s">
        <v>738</v>
      </c>
      <c r="C380" s="9" t="str">
        <f t="shared" si="10"/>
        <v>05-2023</v>
      </c>
      <c r="D380" t="s">
        <v>785</v>
      </c>
      <c r="E380" t="s">
        <v>788</v>
      </c>
      <c r="F380" t="s">
        <v>795</v>
      </c>
      <c r="G380" t="s">
        <v>1175</v>
      </c>
      <c r="H380">
        <v>1371.41</v>
      </c>
      <c r="I380">
        <v>8</v>
      </c>
      <c r="J380">
        <v>0.1</v>
      </c>
      <c r="K380">
        <v>0.13</v>
      </c>
      <c r="L380" t="s">
        <v>1290</v>
      </c>
      <c r="M380" s="6">
        <f t="shared" si="11"/>
        <v>9.4792950321202261E-5</v>
      </c>
      <c r="N380" s="6" t="str" cm="1">
        <f t="array" ref="N380">_xlfn.IFS('Data Cleaning &amp; Transf'!H380&lt;500,"LOW",AND('Data Cleaning &amp; Transf'!H380 &gt;500,'Data Cleaning &amp; Transf'!H380&lt;1000),"Medium",'Data Cleaning &amp; Transf'!H380&gt;1000,"High")</f>
        <v>High</v>
      </c>
    </row>
    <row r="381" spans="1:14" x14ac:dyDescent="0.3">
      <c r="A381" t="s">
        <v>390</v>
      </c>
      <c r="B381" s="2" t="s">
        <v>748</v>
      </c>
      <c r="C381" s="9" t="str">
        <f t="shared" si="10"/>
        <v>05-2023</v>
      </c>
      <c r="D381" t="s">
        <v>786</v>
      </c>
      <c r="E381" t="s">
        <v>788</v>
      </c>
      <c r="F381" t="s">
        <v>796</v>
      </c>
      <c r="G381" t="s">
        <v>1176</v>
      </c>
      <c r="H381">
        <v>828.77</v>
      </c>
      <c r="I381">
        <v>7</v>
      </c>
      <c r="J381">
        <v>0.2</v>
      </c>
      <c r="K381">
        <v>59.45</v>
      </c>
      <c r="L381" t="s">
        <v>1291</v>
      </c>
      <c r="M381" s="6">
        <f t="shared" si="11"/>
        <v>7.1732808861324618E-2</v>
      </c>
      <c r="N381" s="6" t="str" cm="1">
        <f t="array" ref="N381">_xlfn.IFS('Data Cleaning &amp; Transf'!H381&lt;500,"LOW",AND('Data Cleaning &amp; Transf'!H381 &gt;500,'Data Cleaning &amp; Transf'!H381&lt;1000),"Medium",'Data Cleaning &amp; Transf'!H381&gt;1000,"High")</f>
        <v>Medium</v>
      </c>
    </row>
    <row r="382" spans="1:14" x14ac:dyDescent="0.3">
      <c r="A382" t="s">
        <v>391</v>
      </c>
      <c r="B382" s="2" t="s">
        <v>573</v>
      </c>
      <c r="C382" s="9" t="str">
        <f t="shared" si="10"/>
        <v>10-2023</v>
      </c>
      <c r="D382" t="s">
        <v>786</v>
      </c>
      <c r="E382" t="s">
        <v>789</v>
      </c>
      <c r="F382" t="s">
        <v>799</v>
      </c>
      <c r="G382" t="s">
        <v>1177</v>
      </c>
      <c r="H382">
        <v>1357.88</v>
      </c>
      <c r="I382">
        <v>3</v>
      </c>
      <c r="J382">
        <v>0.15</v>
      </c>
      <c r="K382">
        <v>-112.99</v>
      </c>
      <c r="L382" t="s">
        <v>1289</v>
      </c>
      <c r="M382" s="6">
        <f t="shared" si="11"/>
        <v>-8.3210592983179649E-2</v>
      </c>
      <c r="N382" s="6" t="str" cm="1">
        <f t="array" ref="N382">_xlfn.IFS('Data Cleaning &amp; Transf'!H382&lt;500,"LOW",AND('Data Cleaning &amp; Transf'!H382 &gt;500,'Data Cleaning &amp; Transf'!H382&lt;1000),"Medium",'Data Cleaning &amp; Transf'!H382&gt;1000,"High")</f>
        <v>High</v>
      </c>
    </row>
    <row r="383" spans="1:14" x14ac:dyDescent="0.3">
      <c r="A383" t="s">
        <v>392</v>
      </c>
      <c r="B383" s="2" t="s">
        <v>662</v>
      </c>
      <c r="C383" s="9" t="str">
        <f t="shared" si="10"/>
        <v>06-2023</v>
      </c>
      <c r="D383" t="s">
        <v>786</v>
      </c>
      <c r="E383" t="s">
        <v>787</v>
      </c>
      <c r="F383" t="s">
        <v>792</v>
      </c>
      <c r="G383" t="s">
        <v>1178</v>
      </c>
      <c r="H383">
        <v>853.11</v>
      </c>
      <c r="I383">
        <v>9</v>
      </c>
      <c r="J383">
        <v>0.2</v>
      </c>
      <c r="K383">
        <v>-43.82</v>
      </c>
      <c r="L383" t="s">
        <v>1291</v>
      </c>
      <c r="M383" s="6">
        <f t="shared" si="11"/>
        <v>-5.1365005685081642E-2</v>
      </c>
      <c r="N383" s="6" t="str" cm="1">
        <f t="array" ref="N383">_xlfn.IFS('Data Cleaning &amp; Transf'!H383&lt;500,"LOW",AND('Data Cleaning &amp; Transf'!H383 &gt;500,'Data Cleaning &amp; Transf'!H383&lt;1000),"Medium",'Data Cleaning &amp; Transf'!H383&gt;1000,"High")</f>
        <v>Medium</v>
      </c>
    </row>
    <row r="384" spans="1:14" x14ac:dyDescent="0.3">
      <c r="A384" t="s">
        <v>393</v>
      </c>
      <c r="B384" s="2" t="s">
        <v>546</v>
      </c>
      <c r="C384" s="9" t="str">
        <f t="shared" si="10"/>
        <v>08-2023</v>
      </c>
      <c r="D384" t="s">
        <v>785</v>
      </c>
      <c r="E384" t="s">
        <v>788</v>
      </c>
      <c r="F384" t="s">
        <v>793</v>
      </c>
      <c r="G384" t="s">
        <v>1179</v>
      </c>
      <c r="H384">
        <v>129.93</v>
      </c>
      <c r="I384">
        <v>4</v>
      </c>
      <c r="J384">
        <v>0.15</v>
      </c>
      <c r="K384">
        <v>-6.15</v>
      </c>
      <c r="L384" t="s">
        <v>1289</v>
      </c>
      <c r="M384" s="6">
        <f t="shared" si="11"/>
        <v>-4.7333179404294622E-2</v>
      </c>
      <c r="N384" s="6" t="str" cm="1">
        <f t="array" ref="N384">_xlfn.IFS('Data Cleaning &amp; Transf'!H384&lt;500,"LOW",AND('Data Cleaning &amp; Transf'!H384 &gt;500,'Data Cleaning &amp; Transf'!H384&lt;1000),"Medium",'Data Cleaning &amp; Transf'!H384&gt;1000,"High")</f>
        <v>LOW</v>
      </c>
    </row>
    <row r="385" spans="1:14" x14ac:dyDescent="0.3">
      <c r="A385" t="s">
        <v>394</v>
      </c>
      <c r="B385" s="2" t="s">
        <v>636</v>
      </c>
      <c r="C385" s="9" t="str">
        <f t="shared" si="10"/>
        <v>07-2023</v>
      </c>
      <c r="D385" t="s">
        <v>783</v>
      </c>
      <c r="E385" t="s">
        <v>787</v>
      </c>
      <c r="F385" t="s">
        <v>792</v>
      </c>
      <c r="G385" t="s">
        <v>1180</v>
      </c>
      <c r="H385">
        <v>1951.6</v>
      </c>
      <c r="I385">
        <v>7</v>
      </c>
      <c r="J385">
        <v>0</v>
      </c>
      <c r="K385">
        <v>450.07</v>
      </c>
      <c r="L385" t="s">
        <v>1290</v>
      </c>
      <c r="M385" s="6">
        <f t="shared" si="11"/>
        <v>0.2306159048985448</v>
      </c>
      <c r="N385" s="6" t="str" cm="1">
        <f t="array" ref="N385">_xlfn.IFS('Data Cleaning &amp; Transf'!H385&lt;500,"LOW",AND('Data Cleaning &amp; Transf'!H385 &gt;500,'Data Cleaning &amp; Transf'!H385&lt;1000),"Medium",'Data Cleaning &amp; Transf'!H385&gt;1000,"High")</f>
        <v>High</v>
      </c>
    </row>
    <row r="386" spans="1:14" x14ac:dyDescent="0.3">
      <c r="A386" t="s">
        <v>395</v>
      </c>
      <c r="B386" s="2" t="s">
        <v>749</v>
      </c>
      <c r="C386" s="9" t="str">
        <f t="shared" si="10"/>
        <v>11-2023</v>
      </c>
      <c r="D386" t="s">
        <v>786</v>
      </c>
      <c r="E386" t="s">
        <v>787</v>
      </c>
      <c r="F386" t="s">
        <v>792</v>
      </c>
      <c r="G386" t="s">
        <v>1181</v>
      </c>
      <c r="H386">
        <v>1117.99</v>
      </c>
      <c r="I386">
        <v>6</v>
      </c>
      <c r="J386">
        <v>0.05</v>
      </c>
      <c r="K386">
        <v>235.41</v>
      </c>
      <c r="L386" t="s">
        <v>1290</v>
      </c>
      <c r="M386" s="6">
        <f t="shared" si="11"/>
        <v>0.21056538967253732</v>
      </c>
      <c r="N386" s="6" t="str" cm="1">
        <f t="array" ref="N386">_xlfn.IFS('Data Cleaning &amp; Transf'!H386&lt;500,"LOW",AND('Data Cleaning &amp; Transf'!H386 &gt;500,'Data Cleaning &amp; Transf'!H386&lt;1000),"Medium",'Data Cleaning &amp; Transf'!H386&gt;1000,"High")</f>
        <v>High</v>
      </c>
    </row>
    <row r="387" spans="1:14" x14ac:dyDescent="0.3">
      <c r="A387" t="s">
        <v>396</v>
      </c>
      <c r="B387" s="2" t="s">
        <v>527</v>
      </c>
      <c r="C387" s="9" t="str">
        <f t="shared" ref="C387:C450" si="12">TEXT(B387,"MM-YYYY")</f>
        <v>03-2023</v>
      </c>
      <c r="D387" t="s">
        <v>783</v>
      </c>
      <c r="E387" t="s">
        <v>789</v>
      </c>
      <c r="F387" t="s">
        <v>794</v>
      </c>
      <c r="G387" t="s">
        <v>1182</v>
      </c>
      <c r="H387">
        <v>801.7</v>
      </c>
      <c r="I387">
        <v>3</v>
      </c>
      <c r="J387">
        <v>0.05</v>
      </c>
      <c r="K387">
        <v>191.53</v>
      </c>
      <c r="L387" t="s">
        <v>1290</v>
      </c>
      <c r="M387" s="6">
        <f t="shared" ref="M387:M450" si="13">K387/H387</f>
        <v>0.23890482724211051</v>
      </c>
      <c r="N387" s="6" t="str" cm="1">
        <f t="array" ref="N387">_xlfn.IFS('Data Cleaning &amp; Transf'!H387&lt;500,"LOW",AND('Data Cleaning &amp; Transf'!H387 &gt;500,'Data Cleaning &amp; Transf'!H387&lt;1000),"Medium",'Data Cleaning &amp; Transf'!H387&gt;1000,"High")</f>
        <v>Medium</v>
      </c>
    </row>
    <row r="388" spans="1:14" x14ac:dyDescent="0.3">
      <c r="A388" t="s">
        <v>397</v>
      </c>
      <c r="B388" s="2" t="s">
        <v>638</v>
      </c>
      <c r="C388" s="9" t="str">
        <f t="shared" si="12"/>
        <v>08-2023</v>
      </c>
      <c r="D388" t="s">
        <v>784</v>
      </c>
      <c r="E388" t="s">
        <v>787</v>
      </c>
      <c r="F388" t="s">
        <v>800</v>
      </c>
      <c r="G388" t="s">
        <v>1002</v>
      </c>
      <c r="H388">
        <v>1131.44</v>
      </c>
      <c r="I388">
        <v>7</v>
      </c>
      <c r="J388">
        <v>0.1</v>
      </c>
      <c r="K388">
        <v>-4.33</v>
      </c>
      <c r="L388" t="s">
        <v>1289</v>
      </c>
      <c r="M388" s="6">
        <f t="shared" si="13"/>
        <v>-3.8269815456409531E-3</v>
      </c>
      <c r="N388" s="6" t="str" cm="1">
        <f t="array" ref="N388">_xlfn.IFS('Data Cleaning &amp; Transf'!H388&lt;500,"LOW",AND('Data Cleaning &amp; Transf'!H388 &gt;500,'Data Cleaning &amp; Transf'!H388&lt;1000),"Medium",'Data Cleaning &amp; Transf'!H388&gt;1000,"High")</f>
        <v>High</v>
      </c>
    </row>
    <row r="389" spans="1:14" x14ac:dyDescent="0.3">
      <c r="A389" t="s">
        <v>398</v>
      </c>
      <c r="B389" s="2" t="s">
        <v>748</v>
      </c>
      <c r="C389" s="9" t="str">
        <f t="shared" si="12"/>
        <v>05-2023</v>
      </c>
      <c r="D389" t="s">
        <v>786</v>
      </c>
      <c r="E389" t="s">
        <v>787</v>
      </c>
      <c r="F389" t="s">
        <v>790</v>
      </c>
      <c r="G389" t="s">
        <v>1183</v>
      </c>
      <c r="H389">
        <v>1981.38</v>
      </c>
      <c r="I389">
        <v>8</v>
      </c>
      <c r="J389">
        <v>0.15</v>
      </c>
      <c r="K389">
        <v>-86.64</v>
      </c>
      <c r="L389" t="s">
        <v>1289</v>
      </c>
      <c r="M389" s="6">
        <f t="shared" si="13"/>
        <v>-4.3727099294431152E-2</v>
      </c>
      <c r="N389" s="6" t="str" cm="1">
        <f t="array" ref="N389">_xlfn.IFS('Data Cleaning &amp; Transf'!H389&lt;500,"LOW",AND('Data Cleaning &amp; Transf'!H389 &gt;500,'Data Cleaning &amp; Transf'!H389&lt;1000),"Medium",'Data Cleaning &amp; Transf'!H389&gt;1000,"High")</f>
        <v>High</v>
      </c>
    </row>
    <row r="390" spans="1:14" x14ac:dyDescent="0.3">
      <c r="A390" t="s">
        <v>399</v>
      </c>
      <c r="B390" s="2" t="s">
        <v>528</v>
      </c>
      <c r="C390" s="9" t="str">
        <f t="shared" si="12"/>
        <v>07-2023</v>
      </c>
      <c r="D390" t="s">
        <v>786</v>
      </c>
      <c r="E390" t="s">
        <v>789</v>
      </c>
      <c r="F390" t="s">
        <v>797</v>
      </c>
      <c r="G390" t="s">
        <v>1184</v>
      </c>
      <c r="H390">
        <v>301.70999999999998</v>
      </c>
      <c r="I390">
        <v>10</v>
      </c>
      <c r="J390">
        <v>0.2</v>
      </c>
      <c r="K390">
        <v>2.54</v>
      </c>
      <c r="L390" t="s">
        <v>1289</v>
      </c>
      <c r="M390" s="6">
        <f t="shared" si="13"/>
        <v>8.418680189586027E-3</v>
      </c>
      <c r="N390" s="6" t="str" cm="1">
        <f t="array" ref="N390">_xlfn.IFS('Data Cleaning &amp; Transf'!H390&lt;500,"LOW",AND('Data Cleaning &amp; Transf'!H390 &gt;500,'Data Cleaning &amp; Transf'!H390&lt;1000),"Medium",'Data Cleaning &amp; Transf'!H390&gt;1000,"High")</f>
        <v>LOW</v>
      </c>
    </row>
    <row r="391" spans="1:14" x14ac:dyDescent="0.3">
      <c r="A391" t="s">
        <v>400</v>
      </c>
      <c r="B391" s="2" t="s">
        <v>631</v>
      </c>
      <c r="C391" s="9" t="str">
        <f t="shared" si="12"/>
        <v>01-2023</v>
      </c>
      <c r="D391" t="s">
        <v>786</v>
      </c>
      <c r="E391" t="s">
        <v>788</v>
      </c>
      <c r="F391" t="s">
        <v>796</v>
      </c>
      <c r="G391" t="s">
        <v>1185</v>
      </c>
      <c r="H391">
        <v>635.85</v>
      </c>
      <c r="I391">
        <v>10</v>
      </c>
      <c r="J391">
        <v>0.05</v>
      </c>
      <c r="K391">
        <v>29.31</v>
      </c>
      <c r="L391" t="s">
        <v>1291</v>
      </c>
      <c r="M391" s="6">
        <f t="shared" si="13"/>
        <v>4.6095777305968387E-2</v>
      </c>
      <c r="N391" s="6" t="str" cm="1">
        <f t="array" ref="N391">_xlfn.IFS('Data Cleaning &amp; Transf'!H391&lt;500,"LOW",AND('Data Cleaning &amp; Transf'!H391 &gt;500,'Data Cleaning &amp; Transf'!H391&lt;1000),"Medium",'Data Cleaning &amp; Transf'!H391&gt;1000,"High")</f>
        <v>Medium</v>
      </c>
    </row>
    <row r="392" spans="1:14" x14ac:dyDescent="0.3">
      <c r="A392" t="s">
        <v>401</v>
      </c>
      <c r="B392" s="2" t="s">
        <v>733</v>
      </c>
      <c r="C392" s="9" t="str">
        <f t="shared" si="12"/>
        <v>09-2023</v>
      </c>
      <c r="D392" t="s">
        <v>785</v>
      </c>
      <c r="E392" t="s">
        <v>787</v>
      </c>
      <c r="F392" t="s">
        <v>792</v>
      </c>
      <c r="G392" t="s">
        <v>1186</v>
      </c>
      <c r="H392">
        <v>1161.5899999999999</v>
      </c>
      <c r="I392">
        <v>2</v>
      </c>
      <c r="J392">
        <v>0.05</v>
      </c>
      <c r="K392">
        <v>125.09</v>
      </c>
      <c r="L392" t="s">
        <v>1289</v>
      </c>
      <c r="M392" s="6">
        <f t="shared" si="13"/>
        <v>0.10768859924758306</v>
      </c>
      <c r="N392" s="6" t="str" cm="1">
        <f t="array" ref="N392">_xlfn.IFS('Data Cleaning &amp; Transf'!H392&lt;500,"LOW",AND('Data Cleaning &amp; Transf'!H392 &gt;500,'Data Cleaning &amp; Transf'!H392&lt;1000),"Medium",'Data Cleaning &amp; Transf'!H392&gt;1000,"High")</f>
        <v>High</v>
      </c>
    </row>
    <row r="393" spans="1:14" x14ac:dyDescent="0.3">
      <c r="A393" t="s">
        <v>402</v>
      </c>
      <c r="B393" s="2" t="s">
        <v>677</v>
      </c>
      <c r="C393" s="9" t="str">
        <f t="shared" si="12"/>
        <v>03-2023</v>
      </c>
      <c r="D393" t="s">
        <v>783</v>
      </c>
      <c r="E393" t="s">
        <v>788</v>
      </c>
      <c r="F393" t="s">
        <v>791</v>
      </c>
      <c r="G393" t="s">
        <v>967</v>
      </c>
      <c r="H393">
        <v>511.24</v>
      </c>
      <c r="I393">
        <v>6</v>
      </c>
      <c r="J393">
        <v>0.05</v>
      </c>
      <c r="K393">
        <v>66.22</v>
      </c>
      <c r="L393" t="s">
        <v>1290</v>
      </c>
      <c r="M393" s="6">
        <f t="shared" si="13"/>
        <v>0.12952820593067835</v>
      </c>
      <c r="N393" s="6" t="str" cm="1">
        <f t="array" ref="N393">_xlfn.IFS('Data Cleaning &amp; Transf'!H393&lt;500,"LOW",AND('Data Cleaning &amp; Transf'!H393 &gt;500,'Data Cleaning &amp; Transf'!H393&lt;1000),"Medium",'Data Cleaning &amp; Transf'!H393&gt;1000,"High")</f>
        <v>Medium</v>
      </c>
    </row>
    <row r="394" spans="1:14" x14ac:dyDescent="0.3">
      <c r="A394" t="s">
        <v>403</v>
      </c>
      <c r="B394" s="2" t="s">
        <v>679</v>
      </c>
      <c r="C394" s="9" t="str">
        <f t="shared" si="12"/>
        <v>03-2023</v>
      </c>
      <c r="D394" t="s">
        <v>785</v>
      </c>
      <c r="E394" t="s">
        <v>789</v>
      </c>
      <c r="F394" t="s">
        <v>798</v>
      </c>
      <c r="G394" t="s">
        <v>1187</v>
      </c>
      <c r="H394">
        <v>1283.6600000000001</v>
      </c>
      <c r="I394">
        <v>6</v>
      </c>
      <c r="J394">
        <v>0.05</v>
      </c>
      <c r="K394">
        <v>127.56</v>
      </c>
      <c r="L394" t="s">
        <v>1289</v>
      </c>
      <c r="M394" s="6">
        <f t="shared" si="13"/>
        <v>9.9372107879033389E-2</v>
      </c>
      <c r="N394" s="6" t="str" cm="1">
        <f t="array" ref="N394">_xlfn.IFS('Data Cleaning &amp; Transf'!H394&lt;500,"LOW",AND('Data Cleaning &amp; Transf'!H394 &gt;500,'Data Cleaning &amp; Transf'!H394&lt;1000),"Medium",'Data Cleaning &amp; Transf'!H394&gt;1000,"High")</f>
        <v>High</v>
      </c>
    </row>
    <row r="395" spans="1:14" x14ac:dyDescent="0.3">
      <c r="A395" t="s">
        <v>404</v>
      </c>
      <c r="B395" s="2" t="s">
        <v>605</v>
      </c>
      <c r="C395" s="9" t="str">
        <f t="shared" si="12"/>
        <v>02-2023</v>
      </c>
      <c r="D395" t="s">
        <v>785</v>
      </c>
      <c r="E395" t="s">
        <v>788</v>
      </c>
      <c r="F395" t="s">
        <v>796</v>
      </c>
      <c r="G395" t="s">
        <v>1188</v>
      </c>
      <c r="H395">
        <v>1831.42</v>
      </c>
      <c r="I395">
        <v>1</v>
      </c>
      <c r="J395">
        <v>0.1</v>
      </c>
      <c r="K395">
        <v>352.97</v>
      </c>
      <c r="L395" t="s">
        <v>1290</v>
      </c>
      <c r="M395" s="6">
        <f t="shared" si="13"/>
        <v>0.19273023118672944</v>
      </c>
      <c r="N395" s="6" t="str" cm="1">
        <f t="array" ref="N395">_xlfn.IFS('Data Cleaning &amp; Transf'!H395&lt;500,"LOW",AND('Data Cleaning &amp; Transf'!H395 &gt;500,'Data Cleaning &amp; Transf'!H395&lt;1000),"Medium",'Data Cleaning &amp; Transf'!H395&gt;1000,"High")</f>
        <v>High</v>
      </c>
    </row>
    <row r="396" spans="1:14" x14ac:dyDescent="0.3">
      <c r="A396" t="s">
        <v>405</v>
      </c>
      <c r="B396" s="2" t="s">
        <v>574</v>
      </c>
      <c r="C396" s="9" t="str">
        <f t="shared" si="12"/>
        <v>03-2023</v>
      </c>
      <c r="D396" t="s">
        <v>786</v>
      </c>
      <c r="E396" t="s">
        <v>787</v>
      </c>
      <c r="F396" t="s">
        <v>801</v>
      </c>
      <c r="G396" t="s">
        <v>1189</v>
      </c>
      <c r="H396">
        <v>752.73</v>
      </c>
      <c r="I396">
        <v>3</v>
      </c>
      <c r="J396">
        <v>0.05</v>
      </c>
      <c r="K396">
        <v>176.18</v>
      </c>
      <c r="L396" t="s">
        <v>1291</v>
      </c>
      <c r="M396" s="6">
        <f t="shared" si="13"/>
        <v>0.2340547075312529</v>
      </c>
      <c r="N396" s="6" t="str" cm="1">
        <f t="array" ref="N396">_xlfn.IFS('Data Cleaning &amp; Transf'!H396&lt;500,"LOW",AND('Data Cleaning &amp; Transf'!H396 &gt;500,'Data Cleaning &amp; Transf'!H396&lt;1000),"Medium",'Data Cleaning &amp; Transf'!H396&gt;1000,"High")</f>
        <v>Medium</v>
      </c>
    </row>
    <row r="397" spans="1:14" x14ac:dyDescent="0.3">
      <c r="A397" t="s">
        <v>406</v>
      </c>
      <c r="B397" s="2" t="s">
        <v>566</v>
      </c>
      <c r="C397" s="9" t="str">
        <f t="shared" si="12"/>
        <v>09-2023</v>
      </c>
      <c r="D397" t="s">
        <v>783</v>
      </c>
      <c r="E397" t="s">
        <v>787</v>
      </c>
      <c r="F397" t="s">
        <v>792</v>
      </c>
      <c r="G397" t="s">
        <v>1190</v>
      </c>
      <c r="H397">
        <v>1327.14</v>
      </c>
      <c r="I397">
        <v>6</v>
      </c>
      <c r="J397">
        <v>0.15</v>
      </c>
      <c r="K397">
        <v>-49.77</v>
      </c>
      <c r="L397" t="s">
        <v>1291</v>
      </c>
      <c r="M397" s="6">
        <f t="shared" si="13"/>
        <v>-3.7501695375016957E-2</v>
      </c>
      <c r="N397" s="6" t="str" cm="1">
        <f t="array" ref="N397">_xlfn.IFS('Data Cleaning &amp; Transf'!H397&lt;500,"LOW",AND('Data Cleaning &amp; Transf'!H397 &gt;500,'Data Cleaning &amp; Transf'!H397&lt;1000),"Medium",'Data Cleaning &amp; Transf'!H397&gt;1000,"High")</f>
        <v>High</v>
      </c>
    </row>
    <row r="398" spans="1:14" x14ac:dyDescent="0.3">
      <c r="A398" t="s">
        <v>407</v>
      </c>
      <c r="B398" s="2" t="s">
        <v>750</v>
      </c>
      <c r="C398" s="9" t="str">
        <f t="shared" si="12"/>
        <v>10-2023</v>
      </c>
      <c r="D398" t="s">
        <v>784</v>
      </c>
      <c r="E398" t="s">
        <v>788</v>
      </c>
      <c r="F398" t="s">
        <v>795</v>
      </c>
      <c r="G398" t="s">
        <v>1191</v>
      </c>
      <c r="H398">
        <v>510.57</v>
      </c>
      <c r="I398">
        <v>7</v>
      </c>
      <c r="J398">
        <v>0.1</v>
      </c>
      <c r="K398">
        <v>82.5</v>
      </c>
      <c r="L398" t="s">
        <v>1291</v>
      </c>
      <c r="M398" s="6">
        <f t="shared" si="13"/>
        <v>0.16158411187496327</v>
      </c>
      <c r="N398" s="6" t="str" cm="1">
        <f t="array" ref="N398">_xlfn.IFS('Data Cleaning &amp; Transf'!H398&lt;500,"LOW",AND('Data Cleaning &amp; Transf'!H398 &gt;500,'Data Cleaning &amp; Transf'!H398&lt;1000),"Medium",'Data Cleaning &amp; Transf'!H398&gt;1000,"High")</f>
        <v>Medium</v>
      </c>
    </row>
    <row r="399" spans="1:14" x14ac:dyDescent="0.3">
      <c r="A399" t="s">
        <v>408</v>
      </c>
      <c r="B399" s="2" t="s">
        <v>751</v>
      </c>
      <c r="C399" s="9" t="str">
        <f t="shared" si="12"/>
        <v>09-2023</v>
      </c>
      <c r="D399" t="s">
        <v>785</v>
      </c>
      <c r="E399" t="s">
        <v>789</v>
      </c>
      <c r="F399" t="s">
        <v>798</v>
      </c>
      <c r="G399" t="s">
        <v>1192</v>
      </c>
      <c r="H399">
        <v>1865.18</v>
      </c>
      <c r="I399">
        <v>2</v>
      </c>
      <c r="J399">
        <v>0.1</v>
      </c>
      <c r="K399">
        <v>1.22</v>
      </c>
      <c r="L399" t="s">
        <v>1289</v>
      </c>
      <c r="M399" s="6">
        <f t="shared" si="13"/>
        <v>6.5409236642039912E-4</v>
      </c>
      <c r="N399" s="6" t="str" cm="1">
        <f t="array" ref="N399">_xlfn.IFS('Data Cleaning &amp; Transf'!H399&lt;500,"LOW",AND('Data Cleaning &amp; Transf'!H399 &gt;500,'Data Cleaning &amp; Transf'!H399&lt;1000),"Medium",'Data Cleaning &amp; Transf'!H399&gt;1000,"High")</f>
        <v>High</v>
      </c>
    </row>
    <row r="400" spans="1:14" x14ac:dyDescent="0.3">
      <c r="A400" t="s">
        <v>409</v>
      </c>
      <c r="B400" s="2" t="s">
        <v>644</v>
      </c>
      <c r="C400" s="9" t="str">
        <f t="shared" si="12"/>
        <v>01-2023</v>
      </c>
      <c r="D400" t="s">
        <v>784</v>
      </c>
      <c r="E400" t="s">
        <v>789</v>
      </c>
      <c r="F400" t="s">
        <v>794</v>
      </c>
      <c r="G400" t="s">
        <v>1193</v>
      </c>
      <c r="H400">
        <v>1501.53</v>
      </c>
      <c r="I400">
        <v>2</v>
      </c>
      <c r="J400">
        <v>0</v>
      </c>
      <c r="K400">
        <v>131.44999999999999</v>
      </c>
      <c r="L400" t="s">
        <v>1289</v>
      </c>
      <c r="M400" s="6">
        <f t="shared" si="13"/>
        <v>8.7544038414150899E-2</v>
      </c>
      <c r="N400" s="6" t="str" cm="1">
        <f t="array" ref="N400">_xlfn.IFS('Data Cleaning &amp; Transf'!H400&lt;500,"LOW",AND('Data Cleaning &amp; Transf'!H400 &gt;500,'Data Cleaning &amp; Transf'!H400&lt;1000),"Medium",'Data Cleaning &amp; Transf'!H400&gt;1000,"High")</f>
        <v>High</v>
      </c>
    </row>
    <row r="401" spans="1:14" x14ac:dyDescent="0.3">
      <c r="A401" t="s">
        <v>410</v>
      </c>
      <c r="B401" s="2" t="s">
        <v>626</v>
      </c>
      <c r="C401" s="9" t="str">
        <f t="shared" si="12"/>
        <v>08-2023</v>
      </c>
      <c r="D401" t="s">
        <v>785</v>
      </c>
      <c r="E401" t="s">
        <v>789</v>
      </c>
      <c r="F401" t="s">
        <v>799</v>
      </c>
      <c r="G401" t="s">
        <v>1194</v>
      </c>
      <c r="H401">
        <v>212.03</v>
      </c>
      <c r="I401">
        <v>1</v>
      </c>
      <c r="J401">
        <v>0.15</v>
      </c>
      <c r="K401">
        <v>26.58</v>
      </c>
      <c r="L401" t="s">
        <v>1289</v>
      </c>
      <c r="M401" s="6">
        <f t="shared" si="13"/>
        <v>0.12535961892185069</v>
      </c>
      <c r="N401" s="6" t="str" cm="1">
        <f t="array" ref="N401">_xlfn.IFS('Data Cleaning &amp; Transf'!H401&lt;500,"LOW",AND('Data Cleaning &amp; Transf'!H401 &gt;500,'Data Cleaning &amp; Transf'!H401&lt;1000),"Medium",'Data Cleaning &amp; Transf'!H401&gt;1000,"High")</f>
        <v>LOW</v>
      </c>
    </row>
    <row r="402" spans="1:14" x14ac:dyDescent="0.3">
      <c r="A402" t="s">
        <v>411</v>
      </c>
      <c r="B402" s="2" t="s">
        <v>752</v>
      </c>
      <c r="C402" s="9" t="str">
        <f t="shared" si="12"/>
        <v>09-2023</v>
      </c>
      <c r="D402" t="s">
        <v>786</v>
      </c>
      <c r="E402" t="s">
        <v>788</v>
      </c>
      <c r="F402" t="s">
        <v>796</v>
      </c>
      <c r="G402" t="s">
        <v>1195</v>
      </c>
      <c r="H402">
        <v>1193.55</v>
      </c>
      <c r="I402">
        <v>5</v>
      </c>
      <c r="J402">
        <v>0.1</v>
      </c>
      <c r="K402">
        <v>-9.7100000000000009</v>
      </c>
      <c r="L402" t="s">
        <v>1291</v>
      </c>
      <c r="M402" s="6">
        <f t="shared" si="13"/>
        <v>-8.1353944116291741E-3</v>
      </c>
      <c r="N402" s="6" t="str" cm="1">
        <f t="array" ref="N402">_xlfn.IFS('Data Cleaning &amp; Transf'!H402&lt;500,"LOW",AND('Data Cleaning &amp; Transf'!H402 &gt;500,'Data Cleaning &amp; Transf'!H402&lt;1000),"Medium",'Data Cleaning &amp; Transf'!H402&gt;1000,"High")</f>
        <v>High</v>
      </c>
    </row>
    <row r="403" spans="1:14" x14ac:dyDescent="0.3">
      <c r="A403" t="s">
        <v>412</v>
      </c>
      <c r="B403" s="2" t="s">
        <v>753</v>
      </c>
      <c r="C403" s="9" t="str">
        <f t="shared" si="12"/>
        <v>02-2023</v>
      </c>
      <c r="D403" t="s">
        <v>785</v>
      </c>
      <c r="E403" t="s">
        <v>787</v>
      </c>
      <c r="F403" t="s">
        <v>790</v>
      </c>
      <c r="G403" t="s">
        <v>1196</v>
      </c>
      <c r="H403">
        <v>1940.92</v>
      </c>
      <c r="I403">
        <v>8</v>
      </c>
      <c r="J403">
        <v>0.1</v>
      </c>
      <c r="K403">
        <v>320.86</v>
      </c>
      <c r="L403" t="s">
        <v>1290</v>
      </c>
      <c r="M403" s="6">
        <f t="shared" si="13"/>
        <v>0.16531335655256271</v>
      </c>
      <c r="N403" s="6" t="str" cm="1">
        <f t="array" ref="N403">_xlfn.IFS('Data Cleaning &amp; Transf'!H403&lt;500,"LOW",AND('Data Cleaning &amp; Transf'!H403 &gt;500,'Data Cleaning &amp; Transf'!H403&lt;1000),"Medium",'Data Cleaning &amp; Transf'!H403&gt;1000,"High")</f>
        <v>High</v>
      </c>
    </row>
    <row r="404" spans="1:14" x14ac:dyDescent="0.3">
      <c r="A404" t="s">
        <v>413</v>
      </c>
      <c r="B404" s="2" t="s">
        <v>754</v>
      </c>
      <c r="C404" s="9" t="str">
        <f t="shared" si="12"/>
        <v>02-2023</v>
      </c>
      <c r="D404" t="s">
        <v>786</v>
      </c>
      <c r="E404" t="s">
        <v>787</v>
      </c>
      <c r="F404" t="s">
        <v>801</v>
      </c>
      <c r="G404" t="s">
        <v>1197</v>
      </c>
      <c r="H404">
        <v>462.73</v>
      </c>
      <c r="I404">
        <v>4</v>
      </c>
      <c r="J404">
        <v>0</v>
      </c>
      <c r="K404">
        <v>106.05</v>
      </c>
      <c r="L404" t="s">
        <v>1290</v>
      </c>
      <c r="M404" s="6">
        <f t="shared" si="13"/>
        <v>0.22918332504916472</v>
      </c>
      <c r="N404" s="6" t="str" cm="1">
        <f t="array" ref="N404">_xlfn.IFS('Data Cleaning &amp; Transf'!H404&lt;500,"LOW",AND('Data Cleaning &amp; Transf'!H404 &gt;500,'Data Cleaning &amp; Transf'!H404&lt;1000),"Medium",'Data Cleaning &amp; Transf'!H404&gt;1000,"High")</f>
        <v>LOW</v>
      </c>
    </row>
    <row r="405" spans="1:14" x14ac:dyDescent="0.3">
      <c r="A405" t="s">
        <v>414</v>
      </c>
      <c r="B405" s="2" t="s">
        <v>597</v>
      </c>
      <c r="C405" s="9" t="str">
        <f t="shared" si="12"/>
        <v>05-2023</v>
      </c>
      <c r="D405" t="s">
        <v>783</v>
      </c>
      <c r="E405" t="s">
        <v>789</v>
      </c>
      <c r="F405" t="s">
        <v>798</v>
      </c>
      <c r="G405" t="s">
        <v>1198</v>
      </c>
      <c r="H405">
        <v>690.76</v>
      </c>
      <c r="I405">
        <v>8</v>
      </c>
      <c r="J405">
        <v>0.15</v>
      </c>
      <c r="K405">
        <v>13.74</v>
      </c>
      <c r="L405" t="s">
        <v>1289</v>
      </c>
      <c r="M405" s="6">
        <f t="shared" si="13"/>
        <v>1.9891134402686896E-2</v>
      </c>
      <c r="N405" s="6" t="str" cm="1">
        <f t="array" ref="N405">_xlfn.IFS('Data Cleaning &amp; Transf'!H405&lt;500,"LOW",AND('Data Cleaning &amp; Transf'!H405 &gt;500,'Data Cleaning &amp; Transf'!H405&lt;1000),"Medium",'Data Cleaning &amp; Transf'!H405&gt;1000,"High")</f>
        <v>Medium</v>
      </c>
    </row>
    <row r="406" spans="1:14" x14ac:dyDescent="0.3">
      <c r="A406" t="s">
        <v>415</v>
      </c>
      <c r="B406" s="2" t="s">
        <v>664</v>
      </c>
      <c r="C406" s="9" t="str">
        <f t="shared" si="12"/>
        <v>06-2023</v>
      </c>
      <c r="D406" t="s">
        <v>785</v>
      </c>
      <c r="E406" t="s">
        <v>788</v>
      </c>
      <c r="F406" t="s">
        <v>791</v>
      </c>
      <c r="G406" t="s">
        <v>1199</v>
      </c>
      <c r="H406">
        <v>1598.36</v>
      </c>
      <c r="I406">
        <v>8</v>
      </c>
      <c r="J406">
        <v>0</v>
      </c>
      <c r="K406">
        <v>90.54</v>
      </c>
      <c r="L406" t="s">
        <v>1289</v>
      </c>
      <c r="M406" s="6">
        <f t="shared" si="13"/>
        <v>5.6645561700743266E-2</v>
      </c>
      <c r="N406" s="6" t="str" cm="1">
        <f t="array" ref="N406">_xlfn.IFS('Data Cleaning &amp; Transf'!H406&lt;500,"LOW",AND('Data Cleaning &amp; Transf'!H406 &gt;500,'Data Cleaning &amp; Transf'!H406&lt;1000),"Medium",'Data Cleaning &amp; Transf'!H406&gt;1000,"High")</f>
        <v>High</v>
      </c>
    </row>
    <row r="407" spans="1:14" x14ac:dyDescent="0.3">
      <c r="A407" t="s">
        <v>416</v>
      </c>
      <c r="B407" s="2" t="s">
        <v>520</v>
      </c>
      <c r="C407" s="9" t="str">
        <f t="shared" si="12"/>
        <v>08-2023</v>
      </c>
      <c r="D407" t="s">
        <v>784</v>
      </c>
      <c r="E407" t="s">
        <v>787</v>
      </c>
      <c r="F407" t="s">
        <v>792</v>
      </c>
      <c r="G407" t="s">
        <v>1200</v>
      </c>
      <c r="H407">
        <v>415.9</v>
      </c>
      <c r="I407">
        <v>6</v>
      </c>
      <c r="J407">
        <v>0</v>
      </c>
      <c r="K407">
        <v>116.67</v>
      </c>
      <c r="L407" t="s">
        <v>1291</v>
      </c>
      <c r="M407" s="6">
        <f t="shared" si="13"/>
        <v>0.28052416446261125</v>
      </c>
      <c r="N407" s="6" t="str" cm="1">
        <f t="array" ref="N407">_xlfn.IFS('Data Cleaning &amp; Transf'!H407&lt;500,"LOW",AND('Data Cleaning &amp; Transf'!H407 &gt;500,'Data Cleaning &amp; Transf'!H407&lt;1000),"Medium",'Data Cleaning &amp; Transf'!H407&gt;1000,"High")</f>
        <v>LOW</v>
      </c>
    </row>
    <row r="408" spans="1:14" x14ac:dyDescent="0.3">
      <c r="A408" t="s">
        <v>417</v>
      </c>
      <c r="B408" s="2" t="s">
        <v>704</v>
      </c>
      <c r="C408" s="9" t="str">
        <f t="shared" si="12"/>
        <v>06-2023</v>
      </c>
      <c r="D408" t="s">
        <v>785</v>
      </c>
      <c r="E408" t="s">
        <v>789</v>
      </c>
      <c r="F408" t="s">
        <v>799</v>
      </c>
      <c r="G408" t="s">
        <v>1201</v>
      </c>
      <c r="H408">
        <v>1770.44</v>
      </c>
      <c r="I408">
        <v>1</v>
      </c>
      <c r="J408">
        <v>0.15</v>
      </c>
      <c r="K408">
        <v>-25.08</v>
      </c>
      <c r="L408" t="s">
        <v>1291</v>
      </c>
      <c r="M408" s="6">
        <f t="shared" si="13"/>
        <v>-1.4165970041345653E-2</v>
      </c>
      <c r="N408" s="6" t="str" cm="1">
        <f t="array" ref="N408">_xlfn.IFS('Data Cleaning &amp; Transf'!H408&lt;500,"LOW",AND('Data Cleaning &amp; Transf'!H408 &gt;500,'Data Cleaning &amp; Transf'!H408&lt;1000),"Medium",'Data Cleaning &amp; Transf'!H408&gt;1000,"High")</f>
        <v>High</v>
      </c>
    </row>
    <row r="409" spans="1:14" x14ac:dyDescent="0.3">
      <c r="A409" t="s">
        <v>418</v>
      </c>
      <c r="B409" s="2" t="s">
        <v>670</v>
      </c>
      <c r="C409" s="9" t="str">
        <f t="shared" si="12"/>
        <v>05-2023</v>
      </c>
      <c r="D409" t="s">
        <v>783</v>
      </c>
      <c r="E409" t="s">
        <v>787</v>
      </c>
      <c r="F409" t="s">
        <v>800</v>
      </c>
      <c r="G409" t="s">
        <v>1202</v>
      </c>
      <c r="H409">
        <v>121.49</v>
      </c>
      <c r="I409">
        <v>9</v>
      </c>
      <c r="J409">
        <v>0</v>
      </c>
      <c r="K409">
        <v>30.23</v>
      </c>
      <c r="L409" t="s">
        <v>1290</v>
      </c>
      <c r="M409" s="6">
        <f t="shared" si="13"/>
        <v>0.24882706395588117</v>
      </c>
      <c r="N409" s="6" t="str" cm="1">
        <f t="array" ref="N409">_xlfn.IFS('Data Cleaning &amp; Transf'!H409&lt;500,"LOW",AND('Data Cleaning &amp; Transf'!H409 &gt;500,'Data Cleaning &amp; Transf'!H409&lt;1000),"Medium",'Data Cleaning &amp; Transf'!H409&gt;1000,"High")</f>
        <v>LOW</v>
      </c>
    </row>
    <row r="410" spans="1:14" x14ac:dyDescent="0.3">
      <c r="A410" t="s">
        <v>419</v>
      </c>
      <c r="B410" s="2" t="s">
        <v>755</v>
      </c>
      <c r="C410" s="9" t="str">
        <f t="shared" si="12"/>
        <v>12-2023</v>
      </c>
      <c r="D410" t="s">
        <v>785</v>
      </c>
      <c r="E410" t="s">
        <v>788</v>
      </c>
      <c r="F410" t="s">
        <v>793</v>
      </c>
      <c r="G410" t="s">
        <v>1203</v>
      </c>
      <c r="H410">
        <v>1095.22</v>
      </c>
      <c r="I410">
        <v>4</v>
      </c>
      <c r="J410">
        <v>0.2</v>
      </c>
      <c r="K410">
        <v>32.54</v>
      </c>
      <c r="L410" t="s">
        <v>1290</v>
      </c>
      <c r="M410" s="6">
        <f t="shared" si="13"/>
        <v>2.9710925658771752E-2</v>
      </c>
      <c r="N410" s="6" t="str" cm="1">
        <f t="array" ref="N410">_xlfn.IFS('Data Cleaning &amp; Transf'!H410&lt;500,"LOW",AND('Data Cleaning &amp; Transf'!H410 &gt;500,'Data Cleaning &amp; Transf'!H410&lt;1000),"Medium",'Data Cleaning &amp; Transf'!H410&gt;1000,"High")</f>
        <v>High</v>
      </c>
    </row>
    <row r="411" spans="1:14" x14ac:dyDescent="0.3">
      <c r="A411" t="s">
        <v>420</v>
      </c>
      <c r="B411" s="2" t="s">
        <v>756</v>
      </c>
      <c r="C411" s="9" t="str">
        <f t="shared" si="12"/>
        <v>09-2023</v>
      </c>
      <c r="D411" t="s">
        <v>786</v>
      </c>
      <c r="E411" t="s">
        <v>789</v>
      </c>
      <c r="F411" t="s">
        <v>797</v>
      </c>
      <c r="G411" t="s">
        <v>1204</v>
      </c>
      <c r="H411">
        <v>110.28</v>
      </c>
      <c r="I411">
        <v>9</v>
      </c>
      <c r="J411">
        <v>0.05</v>
      </c>
      <c r="K411">
        <v>9.93</v>
      </c>
      <c r="L411" t="s">
        <v>1289</v>
      </c>
      <c r="M411" s="6">
        <f t="shared" si="13"/>
        <v>9.0043525571273125E-2</v>
      </c>
      <c r="N411" s="6" t="str" cm="1">
        <f t="array" ref="N411">_xlfn.IFS('Data Cleaning &amp; Transf'!H411&lt;500,"LOW",AND('Data Cleaning &amp; Transf'!H411 &gt;500,'Data Cleaning &amp; Transf'!H411&lt;1000),"Medium",'Data Cleaning &amp; Transf'!H411&gt;1000,"High")</f>
        <v>LOW</v>
      </c>
    </row>
    <row r="412" spans="1:14" x14ac:dyDescent="0.3">
      <c r="A412" t="s">
        <v>421</v>
      </c>
      <c r="B412" s="2" t="s">
        <v>757</v>
      </c>
      <c r="C412" s="9" t="str">
        <f t="shared" si="12"/>
        <v>05-2023</v>
      </c>
      <c r="D412" t="s">
        <v>784</v>
      </c>
      <c r="E412" t="s">
        <v>787</v>
      </c>
      <c r="F412" t="s">
        <v>801</v>
      </c>
      <c r="G412" t="s">
        <v>1205</v>
      </c>
      <c r="H412">
        <v>593.21</v>
      </c>
      <c r="I412">
        <v>4</v>
      </c>
      <c r="J412">
        <v>0.1</v>
      </c>
      <c r="K412">
        <v>36.43</v>
      </c>
      <c r="L412" t="s">
        <v>1289</v>
      </c>
      <c r="M412" s="6">
        <f t="shared" si="13"/>
        <v>6.1411641745756133E-2</v>
      </c>
      <c r="N412" s="6" t="str" cm="1">
        <f t="array" ref="N412">_xlfn.IFS('Data Cleaning &amp; Transf'!H412&lt;500,"LOW",AND('Data Cleaning &amp; Transf'!H412 &gt;500,'Data Cleaning &amp; Transf'!H412&lt;1000),"Medium",'Data Cleaning &amp; Transf'!H412&gt;1000,"High")</f>
        <v>Medium</v>
      </c>
    </row>
    <row r="413" spans="1:14" x14ac:dyDescent="0.3">
      <c r="A413" t="s">
        <v>422</v>
      </c>
      <c r="B413" s="2" t="s">
        <v>708</v>
      </c>
      <c r="C413" s="9" t="str">
        <f t="shared" si="12"/>
        <v>11-2023</v>
      </c>
      <c r="D413" t="s">
        <v>784</v>
      </c>
      <c r="E413" t="s">
        <v>787</v>
      </c>
      <c r="F413" t="s">
        <v>801</v>
      </c>
      <c r="G413" t="s">
        <v>1206</v>
      </c>
      <c r="H413">
        <v>1520.62</v>
      </c>
      <c r="I413">
        <v>8</v>
      </c>
      <c r="J413">
        <v>0.2</v>
      </c>
      <c r="K413">
        <v>-153.78</v>
      </c>
      <c r="L413" t="s">
        <v>1289</v>
      </c>
      <c r="M413" s="6">
        <f t="shared" si="13"/>
        <v>-0.10112980231747577</v>
      </c>
      <c r="N413" s="6" t="str" cm="1">
        <f t="array" ref="N413">_xlfn.IFS('Data Cleaning &amp; Transf'!H413&lt;500,"LOW",AND('Data Cleaning &amp; Transf'!H413 &gt;500,'Data Cleaning &amp; Transf'!H413&lt;1000),"Medium",'Data Cleaning &amp; Transf'!H413&gt;1000,"High")</f>
        <v>High</v>
      </c>
    </row>
    <row r="414" spans="1:14" x14ac:dyDescent="0.3">
      <c r="A414" t="s">
        <v>423</v>
      </c>
      <c r="B414" s="2" t="s">
        <v>758</v>
      </c>
      <c r="C414" s="9" t="str">
        <f t="shared" si="12"/>
        <v>02-2023</v>
      </c>
      <c r="D414" t="s">
        <v>784</v>
      </c>
      <c r="E414" t="s">
        <v>789</v>
      </c>
      <c r="F414" t="s">
        <v>799</v>
      </c>
      <c r="G414" t="s">
        <v>1207</v>
      </c>
      <c r="H414">
        <v>349.43</v>
      </c>
      <c r="I414">
        <v>2</v>
      </c>
      <c r="J414">
        <v>0.2</v>
      </c>
      <c r="K414">
        <v>1.22</v>
      </c>
      <c r="L414" t="s">
        <v>1289</v>
      </c>
      <c r="M414" s="6">
        <f t="shared" si="13"/>
        <v>3.4914002804567437E-3</v>
      </c>
      <c r="N414" s="6" t="str" cm="1">
        <f t="array" ref="N414">_xlfn.IFS('Data Cleaning &amp; Transf'!H414&lt;500,"LOW",AND('Data Cleaning &amp; Transf'!H414 &gt;500,'Data Cleaning &amp; Transf'!H414&lt;1000),"Medium",'Data Cleaning &amp; Transf'!H414&gt;1000,"High")</f>
        <v>LOW</v>
      </c>
    </row>
    <row r="415" spans="1:14" x14ac:dyDescent="0.3">
      <c r="A415" t="s">
        <v>424</v>
      </c>
      <c r="B415" s="2" t="s">
        <v>517</v>
      </c>
      <c r="C415" s="9" t="str">
        <f t="shared" si="12"/>
        <v>07-2023</v>
      </c>
      <c r="D415" t="s">
        <v>785</v>
      </c>
      <c r="E415" t="s">
        <v>789</v>
      </c>
      <c r="F415" t="s">
        <v>794</v>
      </c>
      <c r="G415" t="s">
        <v>1208</v>
      </c>
      <c r="H415">
        <v>924.98</v>
      </c>
      <c r="I415">
        <v>6</v>
      </c>
      <c r="J415">
        <v>0.2</v>
      </c>
      <c r="K415">
        <v>-99.4</v>
      </c>
      <c r="L415" t="s">
        <v>1289</v>
      </c>
      <c r="M415" s="6">
        <f t="shared" si="13"/>
        <v>-0.10746178295746936</v>
      </c>
      <c r="N415" s="6" t="str" cm="1">
        <f t="array" ref="N415">_xlfn.IFS('Data Cleaning &amp; Transf'!H415&lt;500,"LOW",AND('Data Cleaning &amp; Transf'!H415 &gt;500,'Data Cleaning &amp; Transf'!H415&lt;1000),"Medium",'Data Cleaning &amp; Transf'!H415&gt;1000,"High")</f>
        <v>Medium</v>
      </c>
    </row>
    <row r="416" spans="1:14" x14ac:dyDescent="0.3">
      <c r="A416" t="s">
        <v>425</v>
      </c>
      <c r="B416" s="2" t="s">
        <v>729</v>
      </c>
      <c r="C416" s="9" t="str">
        <f t="shared" si="12"/>
        <v>12-2023</v>
      </c>
      <c r="D416" t="s">
        <v>783</v>
      </c>
      <c r="E416" t="s">
        <v>787</v>
      </c>
      <c r="F416" t="s">
        <v>801</v>
      </c>
      <c r="G416" t="s">
        <v>1209</v>
      </c>
      <c r="H416">
        <v>1509.87</v>
      </c>
      <c r="I416">
        <v>4</v>
      </c>
      <c r="J416">
        <v>0</v>
      </c>
      <c r="K416">
        <v>388.49</v>
      </c>
      <c r="L416" t="s">
        <v>1291</v>
      </c>
      <c r="M416" s="6">
        <f t="shared" si="13"/>
        <v>0.25730029737659538</v>
      </c>
      <c r="N416" s="6" t="str" cm="1">
        <f t="array" ref="N416">_xlfn.IFS('Data Cleaning &amp; Transf'!H416&lt;500,"LOW",AND('Data Cleaning &amp; Transf'!H416 &gt;500,'Data Cleaning &amp; Transf'!H416&lt;1000),"Medium",'Data Cleaning &amp; Transf'!H416&gt;1000,"High")</f>
        <v>High</v>
      </c>
    </row>
    <row r="417" spans="1:14" x14ac:dyDescent="0.3">
      <c r="A417" t="s">
        <v>426</v>
      </c>
      <c r="B417" s="2" t="s">
        <v>759</v>
      </c>
      <c r="C417" s="9" t="str">
        <f t="shared" si="12"/>
        <v>11-2023</v>
      </c>
      <c r="D417" t="s">
        <v>783</v>
      </c>
      <c r="E417" t="s">
        <v>789</v>
      </c>
      <c r="F417" t="s">
        <v>799</v>
      </c>
      <c r="G417" t="s">
        <v>1210</v>
      </c>
      <c r="H417">
        <v>1592.97</v>
      </c>
      <c r="I417">
        <v>2</v>
      </c>
      <c r="J417">
        <v>0.1</v>
      </c>
      <c r="K417">
        <v>49.65</v>
      </c>
      <c r="L417" t="s">
        <v>1291</v>
      </c>
      <c r="M417" s="6">
        <f t="shared" si="13"/>
        <v>3.116819525791446E-2</v>
      </c>
      <c r="N417" s="6" t="str" cm="1">
        <f t="array" ref="N417">_xlfn.IFS('Data Cleaning &amp; Transf'!H417&lt;500,"LOW",AND('Data Cleaning &amp; Transf'!H417 &gt;500,'Data Cleaning &amp; Transf'!H417&lt;1000),"Medium",'Data Cleaning &amp; Transf'!H417&gt;1000,"High")</f>
        <v>High</v>
      </c>
    </row>
    <row r="418" spans="1:14" x14ac:dyDescent="0.3">
      <c r="A418" t="s">
        <v>427</v>
      </c>
      <c r="B418" s="2" t="s">
        <v>751</v>
      </c>
      <c r="C418" s="9" t="str">
        <f t="shared" si="12"/>
        <v>09-2023</v>
      </c>
      <c r="D418" t="s">
        <v>785</v>
      </c>
      <c r="E418" t="s">
        <v>789</v>
      </c>
      <c r="F418" t="s">
        <v>798</v>
      </c>
      <c r="G418" t="s">
        <v>1211</v>
      </c>
      <c r="H418">
        <v>746.6</v>
      </c>
      <c r="I418">
        <v>1</v>
      </c>
      <c r="J418">
        <v>0.1</v>
      </c>
      <c r="K418">
        <v>142.62</v>
      </c>
      <c r="L418" t="s">
        <v>1290</v>
      </c>
      <c r="M418" s="6">
        <f t="shared" si="13"/>
        <v>0.19102598446289848</v>
      </c>
      <c r="N418" s="6" t="str" cm="1">
        <f t="array" ref="N418">_xlfn.IFS('Data Cleaning &amp; Transf'!H418&lt;500,"LOW",AND('Data Cleaning &amp; Transf'!H418 &gt;500,'Data Cleaning &amp; Transf'!H418&lt;1000),"Medium",'Data Cleaning &amp; Transf'!H418&gt;1000,"High")</f>
        <v>Medium</v>
      </c>
    </row>
    <row r="419" spans="1:14" x14ac:dyDescent="0.3">
      <c r="A419" t="s">
        <v>428</v>
      </c>
      <c r="B419" s="2" t="s">
        <v>760</v>
      </c>
      <c r="C419" s="9" t="str">
        <f t="shared" si="12"/>
        <v>12-2023</v>
      </c>
      <c r="D419" t="s">
        <v>783</v>
      </c>
      <c r="E419" t="s">
        <v>787</v>
      </c>
      <c r="F419" t="s">
        <v>800</v>
      </c>
      <c r="G419" t="s">
        <v>1212</v>
      </c>
      <c r="H419">
        <v>685.92</v>
      </c>
      <c r="I419">
        <v>5</v>
      </c>
      <c r="J419">
        <v>0.05</v>
      </c>
      <c r="K419">
        <v>92.46</v>
      </c>
      <c r="L419" t="s">
        <v>1291</v>
      </c>
      <c r="M419" s="6">
        <f t="shared" si="13"/>
        <v>0.13479706088173549</v>
      </c>
      <c r="N419" s="6" t="str" cm="1">
        <f t="array" ref="N419">_xlfn.IFS('Data Cleaning &amp; Transf'!H419&lt;500,"LOW",AND('Data Cleaning &amp; Transf'!H419 &gt;500,'Data Cleaning &amp; Transf'!H419&lt;1000),"Medium",'Data Cleaning &amp; Transf'!H419&gt;1000,"High")</f>
        <v>Medium</v>
      </c>
    </row>
    <row r="420" spans="1:14" x14ac:dyDescent="0.3">
      <c r="A420" t="s">
        <v>429</v>
      </c>
      <c r="B420" s="2" t="s">
        <v>761</v>
      </c>
      <c r="C420" s="9" t="str">
        <f t="shared" si="12"/>
        <v>11-2023</v>
      </c>
      <c r="D420" t="s">
        <v>785</v>
      </c>
      <c r="E420" t="s">
        <v>787</v>
      </c>
      <c r="F420" t="s">
        <v>792</v>
      </c>
      <c r="G420" t="s">
        <v>1213</v>
      </c>
      <c r="H420">
        <v>1207.02</v>
      </c>
      <c r="I420">
        <v>4</v>
      </c>
      <c r="J420">
        <v>0.05</v>
      </c>
      <c r="K420">
        <v>79.88</v>
      </c>
      <c r="L420" t="s">
        <v>1291</v>
      </c>
      <c r="M420" s="6">
        <f t="shared" si="13"/>
        <v>6.6179516495169927E-2</v>
      </c>
      <c r="N420" s="6" t="str" cm="1">
        <f t="array" ref="N420">_xlfn.IFS('Data Cleaning &amp; Transf'!H420&lt;500,"LOW",AND('Data Cleaning &amp; Transf'!H420 &gt;500,'Data Cleaning &amp; Transf'!H420&lt;1000),"Medium",'Data Cleaning &amp; Transf'!H420&gt;1000,"High")</f>
        <v>High</v>
      </c>
    </row>
    <row r="421" spans="1:14" x14ac:dyDescent="0.3">
      <c r="A421" t="s">
        <v>430</v>
      </c>
      <c r="B421" s="2" t="s">
        <v>549</v>
      </c>
      <c r="C421" s="9" t="str">
        <f t="shared" si="12"/>
        <v>07-2023</v>
      </c>
      <c r="D421" t="s">
        <v>785</v>
      </c>
      <c r="E421" t="s">
        <v>788</v>
      </c>
      <c r="F421" t="s">
        <v>793</v>
      </c>
      <c r="G421" t="s">
        <v>1214</v>
      </c>
      <c r="H421">
        <v>891.22</v>
      </c>
      <c r="I421">
        <v>1</v>
      </c>
      <c r="J421">
        <v>0.05</v>
      </c>
      <c r="K421">
        <v>208.6</v>
      </c>
      <c r="L421" t="s">
        <v>1291</v>
      </c>
      <c r="M421" s="6">
        <f t="shared" si="13"/>
        <v>0.23406117456969097</v>
      </c>
      <c r="N421" s="6" t="str" cm="1">
        <f t="array" ref="N421">_xlfn.IFS('Data Cleaning &amp; Transf'!H421&lt;500,"LOW",AND('Data Cleaning &amp; Transf'!H421 &gt;500,'Data Cleaning &amp; Transf'!H421&lt;1000),"Medium",'Data Cleaning &amp; Transf'!H421&gt;1000,"High")</f>
        <v>Medium</v>
      </c>
    </row>
    <row r="422" spans="1:14" x14ac:dyDescent="0.3">
      <c r="A422" t="s">
        <v>431</v>
      </c>
      <c r="B422" s="2" t="s">
        <v>762</v>
      </c>
      <c r="C422" s="9" t="str">
        <f t="shared" si="12"/>
        <v>12-2023</v>
      </c>
      <c r="D422" t="s">
        <v>783</v>
      </c>
      <c r="E422" t="s">
        <v>787</v>
      </c>
      <c r="F422" t="s">
        <v>801</v>
      </c>
      <c r="G422" t="s">
        <v>953</v>
      </c>
      <c r="H422">
        <v>542.01</v>
      </c>
      <c r="I422">
        <v>5</v>
      </c>
      <c r="J422">
        <v>0.1</v>
      </c>
      <c r="K422">
        <v>1.48</v>
      </c>
      <c r="L422" t="s">
        <v>1290</v>
      </c>
      <c r="M422" s="6">
        <f t="shared" si="13"/>
        <v>2.7305769266249701E-3</v>
      </c>
      <c r="N422" s="6" t="str" cm="1">
        <f t="array" ref="N422">_xlfn.IFS('Data Cleaning &amp; Transf'!H422&lt;500,"LOW",AND('Data Cleaning &amp; Transf'!H422 &gt;500,'Data Cleaning &amp; Transf'!H422&lt;1000),"Medium",'Data Cleaning &amp; Transf'!H422&gt;1000,"High")</f>
        <v>Medium</v>
      </c>
    </row>
    <row r="423" spans="1:14" x14ac:dyDescent="0.3">
      <c r="A423" t="s">
        <v>432</v>
      </c>
      <c r="B423" s="2" t="s">
        <v>763</v>
      </c>
      <c r="C423" s="9" t="str">
        <f t="shared" si="12"/>
        <v>03-2023</v>
      </c>
      <c r="D423" t="s">
        <v>786</v>
      </c>
      <c r="E423" t="s">
        <v>789</v>
      </c>
      <c r="F423" t="s">
        <v>798</v>
      </c>
      <c r="G423" t="s">
        <v>1215</v>
      </c>
      <c r="H423">
        <v>156.32</v>
      </c>
      <c r="I423">
        <v>6</v>
      </c>
      <c r="J423">
        <v>0</v>
      </c>
      <c r="K423">
        <v>10.45</v>
      </c>
      <c r="L423" t="s">
        <v>1290</v>
      </c>
      <c r="M423" s="6">
        <f t="shared" si="13"/>
        <v>6.685005117707267E-2</v>
      </c>
      <c r="N423" s="6" t="str" cm="1">
        <f t="array" ref="N423">_xlfn.IFS('Data Cleaning &amp; Transf'!H423&lt;500,"LOW",AND('Data Cleaning &amp; Transf'!H423 &gt;500,'Data Cleaning &amp; Transf'!H423&lt;1000),"Medium",'Data Cleaning &amp; Transf'!H423&gt;1000,"High")</f>
        <v>LOW</v>
      </c>
    </row>
    <row r="424" spans="1:14" x14ac:dyDescent="0.3">
      <c r="A424" t="s">
        <v>433</v>
      </c>
      <c r="B424" s="2" t="s">
        <v>575</v>
      </c>
      <c r="C424" s="9" t="str">
        <f t="shared" si="12"/>
        <v>10-2023</v>
      </c>
      <c r="D424" t="s">
        <v>784</v>
      </c>
      <c r="E424" t="s">
        <v>787</v>
      </c>
      <c r="F424" t="s">
        <v>790</v>
      </c>
      <c r="G424" t="s">
        <v>1216</v>
      </c>
      <c r="H424">
        <v>253.75</v>
      </c>
      <c r="I424">
        <v>2</v>
      </c>
      <c r="J424">
        <v>0.1</v>
      </c>
      <c r="K424">
        <v>21.25</v>
      </c>
      <c r="L424" t="s">
        <v>1290</v>
      </c>
      <c r="M424" s="6">
        <f t="shared" si="13"/>
        <v>8.3743842364532015E-2</v>
      </c>
      <c r="N424" s="6" t="str" cm="1">
        <f t="array" ref="N424">_xlfn.IFS('Data Cleaning &amp; Transf'!H424&lt;500,"LOW",AND('Data Cleaning &amp; Transf'!H424 &gt;500,'Data Cleaning &amp; Transf'!H424&lt;1000),"Medium",'Data Cleaning &amp; Transf'!H424&gt;1000,"High")</f>
        <v>LOW</v>
      </c>
    </row>
    <row r="425" spans="1:14" x14ac:dyDescent="0.3">
      <c r="A425" t="s">
        <v>434</v>
      </c>
      <c r="B425" s="2" t="s">
        <v>764</v>
      </c>
      <c r="C425" s="9" t="str">
        <f t="shared" si="12"/>
        <v>10-2023</v>
      </c>
      <c r="D425" t="s">
        <v>783</v>
      </c>
      <c r="E425" t="s">
        <v>788</v>
      </c>
      <c r="F425" t="s">
        <v>791</v>
      </c>
      <c r="G425" t="s">
        <v>1217</v>
      </c>
      <c r="H425">
        <v>1388.07</v>
      </c>
      <c r="I425">
        <v>9</v>
      </c>
      <c r="J425">
        <v>0</v>
      </c>
      <c r="K425">
        <v>415.44</v>
      </c>
      <c r="L425" t="s">
        <v>1289</v>
      </c>
      <c r="M425" s="6">
        <f t="shared" si="13"/>
        <v>0.29929326330804645</v>
      </c>
      <c r="N425" s="6" t="str" cm="1">
        <f t="array" ref="N425">_xlfn.IFS('Data Cleaning &amp; Transf'!H425&lt;500,"LOW",AND('Data Cleaning &amp; Transf'!H425 &gt;500,'Data Cleaning &amp; Transf'!H425&lt;1000),"Medium",'Data Cleaning &amp; Transf'!H425&gt;1000,"High")</f>
        <v>High</v>
      </c>
    </row>
    <row r="426" spans="1:14" x14ac:dyDescent="0.3">
      <c r="A426" t="s">
        <v>435</v>
      </c>
      <c r="B426" s="2" t="s">
        <v>672</v>
      </c>
      <c r="C426" s="9" t="str">
        <f t="shared" si="12"/>
        <v>03-2023</v>
      </c>
      <c r="D426" t="s">
        <v>784</v>
      </c>
      <c r="E426" t="s">
        <v>788</v>
      </c>
      <c r="F426" t="s">
        <v>791</v>
      </c>
      <c r="G426" t="s">
        <v>1218</v>
      </c>
      <c r="H426">
        <v>1027.49</v>
      </c>
      <c r="I426">
        <v>3</v>
      </c>
      <c r="J426">
        <v>0</v>
      </c>
      <c r="K426">
        <v>154.34</v>
      </c>
      <c r="L426" t="s">
        <v>1289</v>
      </c>
      <c r="M426" s="6">
        <f t="shared" si="13"/>
        <v>0.15021070764678976</v>
      </c>
      <c r="N426" s="6" t="str" cm="1">
        <f t="array" ref="N426">_xlfn.IFS('Data Cleaning &amp; Transf'!H426&lt;500,"LOW",AND('Data Cleaning &amp; Transf'!H426 &gt;500,'Data Cleaning &amp; Transf'!H426&lt;1000),"Medium",'Data Cleaning &amp; Transf'!H426&gt;1000,"High")</f>
        <v>High</v>
      </c>
    </row>
    <row r="427" spans="1:14" x14ac:dyDescent="0.3">
      <c r="A427" t="s">
        <v>436</v>
      </c>
      <c r="B427" s="2" t="s">
        <v>566</v>
      </c>
      <c r="C427" s="9" t="str">
        <f t="shared" si="12"/>
        <v>09-2023</v>
      </c>
      <c r="D427" t="s">
        <v>785</v>
      </c>
      <c r="E427" t="s">
        <v>789</v>
      </c>
      <c r="F427" t="s">
        <v>797</v>
      </c>
      <c r="G427" t="s">
        <v>1219</v>
      </c>
      <c r="H427">
        <v>1866.7</v>
      </c>
      <c r="I427">
        <v>4</v>
      </c>
      <c r="J427">
        <v>0.1</v>
      </c>
      <c r="K427">
        <v>-89.63</v>
      </c>
      <c r="L427" t="s">
        <v>1290</v>
      </c>
      <c r="M427" s="6">
        <f t="shared" si="13"/>
        <v>-4.8015214014035461E-2</v>
      </c>
      <c r="N427" s="6" t="str" cm="1">
        <f t="array" ref="N427">_xlfn.IFS('Data Cleaning &amp; Transf'!H427&lt;500,"LOW",AND('Data Cleaning &amp; Transf'!H427 &gt;500,'Data Cleaning &amp; Transf'!H427&lt;1000),"Medium",'Data Cleaning &amp; Transf'!H427&gt;1000,"High")</f>
        <v>High</v>
      </c>
    </row>
    <row r="428" spans="1:14" x14ac:dyDescent="0.3">
      <c r="A428" t="s">
        <v>437</v>
      </c>
      <c r="B428" s="2" t="s">
        <v>765</v>
      </c>
      <c r="C428" s="9" t="str">
        <f t="shared" si="12"/>
        <v>05-2023</v>
      </c>
      <c r="D428" t="s">
        <v>785</v>
      </c>
      <c r="E428" t="s">
        <v>789</v>
      </c>
      <c r="F428" t="s">
        <v>794</v>
      </c>
      <c r="G428" t="s">
        <v>1220</v>
      </c>
      <c r="H428">
        <v>470.39</v>
      </c>
      <c r="I428">
        <v>5</v>
      </c>
      <c r="J428">
        <v>0</v>
      </c>
      <c r="K428">
        <v>97.47</v>
      </c>
      <c r="L428" t="s">
        <v>1291</v>
      </c>
      <c r="M428" s="6">
        <f t="shared" si="13"/>
        <v>0.20721103764960991</v>
      </c>
      <c r="N428" s="6" t="str" cm="1">
        <f t="array" ref="N428">_xlfn.IFS('Data Cleaning &amp; Transf'!H428&lt;500,"LOW",AND('Data Cleaning &amp; Transf'!H428 &gt;500,'Data Cleaning &amp; Transf'!H428&lt;1000),"Medium",'Data Cleaning &amp; Transf'!H428&gt;1000,"High")</f>
        <v>LOW</v>
      </c>
    </row>
    <row r="429" spans="1:14" x14ac:dyDescent="0.3">
      <c r="A429" t="s">
        <v>438</v>
      </c>
      <c r="B429" s="2" t="s">
        <v>721</v>
      </c>
      <c r="C429" s="9" t="str">
        <f t="shared" si="12"/>
        <v>06-2023</v>
      </c>
      <c r="D429" t="s">
        <v>784</v>
      </c>
      <c r="E429" t="s">
        <v>788</v>
      </c>
      <c r="F429" t="s">
        <v>791</v>
      </c>
      <c r="G429" t="s">
        <v>1221</v>
      </c>
      <c r="H429">
        <v>1077.19</v>
      </c>
      <c r="I429">
        <v>6</v>
      </c>
      <c r="J429">
        <v>0.15</v>
      </c>
      <c r="K429">
        <v>39.81</v>
      </c>
      <c r="L429" t="s">
        <v>1290</v>
      </c>
      <c r="M429" s="6">
        <f t="shared" si="13"/>
        <v>3.6957268448463129E-2</v>
      </c>
      <c r="N429" s="6" t="str" cm="1">
        <f t="array" ref="N429">_xlfn.IFS('Data Cleaning &amp; Transf'!H429&lt;500,"LOW",AND('Data Cleaning &amp; Transf'!H429 &gt;500,'Data Cleaning &amp; Transf'!H429&lt;1000),"Medium",'Data Cleaning &amp; Transf'!H429&gt;1000,"High")</f>
        <v>High</v>
      </c>
    </row>
    <row r="430" spans="1:14" x14ac:dyDescent="0.3">
      <c r="A430" t="s">
        <v>439</v>
      </c>
      <c r="B430" s="2" t="s">
        <v>766</v>
      </c>
      <c r="C430" s="9" t="str">
        <f t="shared" si="12"/>
        <v>11-2023</v>
      </c>
      <c r="D430" t="s">
        <v>784</v>
      </c>
      <c r="E430" t="s">
        <v>789</v>
      </c>
      <c r="F430" t="s">
        <v>797</v>
      </c>
      <c r="G430" t="s">
        <v>1222</v>
      </c>
      <c r="H430">
        <v>517.33000000000004</v>
      </c>
      <c r="I430">
        <v>2</v>
      </c>
      <c r="J430">
        <v>0.15</v>
      </c>
      <c r="K430">
        <v>24.25</v>
      </c>
      <c r="L430" t="s">
        <v>1290</v>
      </c>
      <c r="M430" s="6">
        <f t="shared" si="13"/>
        <v>4.6875302031585249E-2</v>
      </c>
      <c r="N430" s="6" t="str" cm="1">
        <f t="array" ref="N430">_xlfn.IFS('Data Cleaning &amp; Transf'!H430&lt;500,"LOW",AND('Data Cleaning &amp; Transf'!H430 &gt;500,'Data Cleaning &amp; Transf'!H430&lt;1000),"Medium",'Data Cleaning &amp; Transf'!H430&gt;1000,"High")</f>
        <v>Medium</v>
      </c>
    </row>
    <row r="431" spans="1:14" x14ac:dyDescent="0.3">
      <c r="A431" t="s">
        <v>440</v>
      </c>
      <c r="B431" s="2" t="s">
        <v>723</v>
      </c>
      <c r="C431" s="9" t="str">
        <f t="shared" si="12"/>
        <v>05-2023</v>
      </c>
      <c r="D431" t="s">
        <v>785</v>
      </c>
      <c r="E431" t="s">
        <v>787</v>
      </c>
      <c r="F431" t="s">
        <v>800</v>
      </c>
      <c r="G431" t="s">
        <v>1223</v>
      </c>
      <c r="H431">
        <v>279.12</v>
      </c>
      <c r="I431">
        <v>1</v>
      </c>
      <c r="J431">
        <v>0</v>
      </c>
      <c r="K431">
        <v>68.349999999999994</v>
      </c>
      <c r="L431" t="s">
        <v>1290</v>
      </c>
      <c r="M431" s="6">
        <f t="shared" si="13"/>
        <v>0.2448767555173402</v>
      </c>
      <c r="N431" s="6" t="str" cm="1">
        <f t="array" ref="N431">_xlfn.IFS('Data Cleaning &amp; Transf'!H431&lt;500,"LOW",AND('Data Cleaning &amp; Transf'!H431 &gt;500,'Data Cleaning &amp; Transf'!H431&lt;1000),"Medium",'Data Cleaning &amp; Transf'!H431&gt;1000,"High")</f>
        <v>LOW</v>
      </c>
    </row>
    <row r="432" spans="1:14" x14ac:dyDescent="0.3">
      <c r="A432" t="s">
        <v>441</v>
      </c>
      <c r="B432" s="2" t="s">
        <v>757</v>
      </c>
      <c r="C432" s="9" t="str">
        <f t="shared" si="12"/>
        <v>05-2023</v>
      </c>
      <c r="D432" t="s">
        <v>784</v>
      </c>
      <c r="E432" t="s">
        <v>787</v>
      </c>
      <c r="F432" t="s">
        <v>792</v>
      </c>
      <c r="G432" t="s">
        <v>1224</v>
      </c>
      <c r="H432">
        <v>1441.11</v>
      </c>
      <c r="I432">
        <v>7</v>
      </c>
      <c r="J432">
        <v>0.05</v>
      </c>
      <c r="K432">
        <v>128.6</v>
      </c>
      <c r="L432" t="s">
        <v>1289</v>
      </c>
      <c r="M432" s="6">
        <f t="shared" si="13"/>
        <v>8.9236768879544237E-2</v>
      </c>
      <c r="N432" s="6" t="str" cm="1">
        <f t="array" ref="N432">_xlfn.IFS('Data Cleaning &amp; Transf'!H432&lt;500,"LOW",AND('Data Cleaning &amp; Transf'!H432 &gt;500,'Data Cleaning &amp; Transf'!H432&lt;1000),"Medium",'Data Cleaning &amp; Transf'!H432&gt;1000,"High")</f>
        <v>High</v>
      </c>
    </row>
    <row r="433" spans="1:14" x14ac:dyDescent="0.3">
      <c r="A433" t="s">
        <v>442</v>
      </c>
      <c r="B433" s="2" t="s">
        <v>767</v>
      </c>
      <c r="C433" s="9" t="str">
        <f t="shared" si="12"/>
        <v>05-2023</v>
      </c>
      <c r="D433" t="s">
        <v>785</v>
      </c>
      <c r="E433" t="s">
        <v>787</v>
      </c>
      <c r="F433" t="s">
        <v>792</v>
      </c>
      <c r="G433" t="s">
        <v>1225</v>
      </c>
      <c r="H433">
        <v>1800.18</v>
      </c>
      <c r="I433">
        <v>3</v>
      </c>
      <c r="J433">
        <v>0.15</v>
      </c>
      <c r="K433">
        <v>-18.77</v>
      </c>
      <c r="L433" t="s">
        <v>1291</v>
      </c>
      <c r="M433" s="6">
        <f t="shared" si="13"/>
        <v>-1.0426735104267351E-2</v>
      </c>
      <c r="N433" s="6" t="str" cm="1">
        <f t="array" ref="N433">_xlfn.IFS('Data Cleaning &amp; Transf'!H433&lt;500,"LOW",AND('Data Cleaning &amp; Transf'!H433 &gt;500,'Data Cleaning &amp; Transf'!H433&lt;1000),"Medium",'Data Cleaning &amp; Transf'!H433&gt;1000,"High")</f>
        <v>High</v>
      </c>
    </row>
    <row r="434" spans="1:14" x14ac:dyDescent="0.3">
      <c r="A434" t="s">
        <v>443</v>
      </c>
      <c r="B434" s="2" t="s">
        <v>645</v>
      </c>
      <c r="C434" s="9" t="str">
        <f t="shared" si="12"/>
        <v>11-2023</v>
      </c>
      <c r="D434" t="s">
        <v>783</v>
      </c>
      <c r="E434" t="s">
        <v>789</v>
      </c>
      <c r="F434" t="s">
        <v>794</v>
      </c>
      <c r="G434" t="s">
        <v>1226</v>
      </c>
      <c r="H434">
        <v>1751.26</v>
      </c>
      <c r="I434">
        <v>7</v>
      </c>
      <c r="J434">
        <v>0.2</v>
      </c>
      <c r="K434">
        <v>-124.93</v>
      </c>
      <c r="L434" t="s">
        <v>1290</v>
      </c>
      <c r="M434" s="6">
        <f t="shared" si="13"/>
        <v>-7.1337208638351815E-2</v>
      </c>
      <c r="N434" s="6" t="str" cm="1">
        <f t="array" ref="N434">_xlfn.IFS('Data Cleaning &amp; Transf'!H434&lt;500,"LOW",AND('Data Cleaning &amp; Transf'!H434 &gt;500,'Data Cleaning &amp; Transf'!H434&lt;1000),"Medium",'Data Cleaning &amp; Transf'!H434&gt;1000,"High")</f>
        <v>High</v>
      </c>
    </row>
    <row r="435" spans="1:14" x14ac:dyDescent="0.3">
      <c r="A435" t="s">
        <v>444</v>
      </c>
      <c r="B435" s="2" t="s">
        <v>578</v>
      </c>
      <c r="C435" s="9" t="str">
        <f t="shared" si="12"/>
        <v>03-2023</v>
      </c>
      <c r="D435" t="s">
        <v>786</v>
      </c>
      <c r="E435" t="s">
        <v>787</v>
      </c>
      <c r="F435" t="s">
        <v>801</v>
      </c>
      <c r="G435" t="s">
        <v>1197</v>
      </c>
      <c r="H435">
        <v>1838.57</v>
      </c>
      <c r="I435">
        <v>8</v>
      </c>
      <c r="J435">
        <v>0.2</v>
      </c>
      <c r="K435">
        <v>83.22</v>
      </c>
      <c r="L435" t="s">
        <v>1289</v>
      </c>
      <c r="M435" s="6">
        <f t="shared" si="13"/>
        <v>4.5263438433130097E-2</v>
      </c>
      <c r="N435" s="6" t="str" cm="1">
        <f t="array" ref="N435">_xlfn.IFS('Data Cleaning &amp; Transf'!H435&lt;500,"LOW",AND('Data Cleaning &amp; Transf'!H435 &gt;500,'Data Cleaning &amp; Transf'!H435&lt;1000),"Medium",'Data Cleaning &amp; Transf'!H435&gt;1000,"High")</f>
        <v>High</v>
      </c>
    </row>
    <row r="436" spans="1:14" x14ac:dyDescent="0.3">
      <c r="A436" t="s">
        <v>445</v>
      </c>
      <c r="B436" s="2" t="s">
        <v>662</v>
      </c>
      <c r="C436" s="9" t="str">
        <f t="shared" si="12"/>
        <v>06-2023</v>
      </c>
      <c r="D436" t="s">
        <v>783</v>
      </c>
      <c r="E436" t="s">
        <v>789</v>
      </c>
      <c r="F436" t="s">
        <v>797</v>
      </c>
      <c r="G436" t="s">
        <v>1227</v>
      </c>
      <c r="H436">
        <v>1348.63</v>
      </c>
      <c r="I436">
        <v>5</v>
      </c>
      <c r="J436">
        <v>0.15</v>
      </c>
      <c r="K436">
        <v>43.13</v>
      </c>
      <c r="L436" t="s">
        <v>1289</v>
      </c>
      <c r="M436" s="6">
        <f t="shared" si="13"/>
        <v>3.1980602537389796E-2</v>
      </c>
      <c r="N436" s="6" t="str" cm="1">
        <f t="array" ref="N436">_xlfn.IFS('Data Cleaning &amp; Transf'!H436&lt;500,"LOW",AND('Data Cleaning &amp; Transf'!H436 &gt;500,'Data Cleaning &amp; Transf'!H436&lt;1000),"Medium",'Data Cleaning &amp; Transf'!H436&gt;1000,"High")</f>
        <v>High</v>
      </c>
    </row>
    <row r="437" spans="1:14" x14ac:dyDescent="0.3">
      <c r="A437" t="s">
        <v>446</v>
      </c>
      <c r="B437" s="2" t="s">
        <v>716</v>
      </c>
      <c r="C437" s="9" t="str">
        <f t="shared" si="12"/>
        <v>12-2023</v>
      </c>
      <c r="D437" t="s">
        <v>786</v>
      </c>
      <c r="E437" t="s">
        <v>787</v>
      </c>
      <c r="F437" t="s">
        <v>792</v>
      </c>
      <c r="G437" t="s">
        <v>1228</v>
      </c>
      <c r="H437">
        <v>712.81</v>
      </c>
      <c r="I437">
        <v>9</v>
      </c>
      <c r="J437">
        <v>0</v>
      </c>
      <c r="K437">
        <v>94.3</v>
      </c>
      <c r="L437" t="s">
        <v>1290</v>
      </c>
      <c r="M437" s="6">
        <f t="shared" si="13"/>
        <v>0.13229331799497762</v>
      </c>
      <c r="N437" s="6" t="str" cm="1">
        <f t="array" ref="N437">_xlfn.IFS('Data Cleaning &amp; Transf'!H437&lt;500,"LOW",AND('Data Cleaning &amp; Transf'!H437 &gt;500,'Data Cleaning &amp; Transf'!H437&lt;1000),"Medium",'Data Cleaning &amp; Transf'!H437&gt;1000,"High")</f>
        <v>Medium</v>
      </c>
    </row>
    <row r="438" spans="1:14" x14ac:dyDescent="0.3">
      <c r="A438" t="s">
        <v>447</v>
      </c>
      <c r="B438" s="2" t="s">
        <v>732</v>
      </c>
      <c r="C438" s="9" t="str">
        <f t="shared" si="12"/>
        <v>05-2023</v>
      </c>
      <c r="D438" t="s">
        <v>783</v>
      </c>
      <c r="E438" t="s">
        <v>787</v>
      </c>
      <c r="F438" t="s">
        <v>800</v>
      </c>
      <c r="G438" t="s">
        <v>1229</v>
      </c>
      <c r="H438">
        <v>336.56</v>
      </c>
      <c r="I438">
        <v>4</v>
      </c>
      <c r="J438">
        <v>0.15</v>
      </c>
      <c r="K438">
        <v>-31.62</v>
      </c>
      <c r="L438" t="s">
        <v>1291</v>
      </c>
      <c r="M438" s="6">
        <f t="shared" si="13"/>
        <v>-9.395055859282149E-2</v>
      </c>
      <c r="N438" s="6" t="str" cm="1">
        <f t="array" ref="N438">_xlfn.IFS('Data Cleaning &amp; Transf'!H438&lt;500,"LOW",AND('Data Cleaning &amp; Transf'!H438 &gt;500,'Data Cleaning &amp; Transf'!H438&lt;1000),"Medium",'Data Cleaning &amp; Transf'!H438&gt;1000,"High")</f>
        <v>LOW</v>
      </c>
    </row>
    <row r="439" spans="1:14" x14ac:dyDescent="0.3">
      <c r="A439" t="s">
        <v>448</v>
      </c>
      <c r="B439" s="2" t="s">
        <v>724</v>
      </c>
      <c r="C439" s="9" t="str">
        <f t="shared" si="12"/>
        <v>07-2023</v>
      </c>
      <c r="D439" t="s">
        <v>785</v>
      </c>
      <c r="E439" t="s">
        <v>788</v>
      </c>
      <c r="F439" t="s">
        <v>791</v>
      </c>
      <c r="G439" t="s">
        <v>1230</v>
      </c>
      <c r="H439">
        <v>754.73</v>
      </c>
      <c r="I439">
        <v>9</v>
      </c>
      <c r="J439">
        <v>0.2</v>
      </c>
      <c r="K439">
        <v>-76.3</v>
      </c>
      <c r="L439" t="s">
        <v>1289</v>
      </c>
      <c r="M439" s="6">
        <f t="shared" si="13"/>
        <v>-0.1010957560982073</v>
      </c>
      <c r="N439" s="6" t="str" cm="1">
        <f t="array" ref="N439">_xlfn.IFS('Data Cleaning &amp; Transf'!H439&lt;500,"LOW",AND('Data Cleaning &amp; Transf'!H439 &gt;500,'Data Cleaning &amp; Transf'!H439&lt;1000),"Medium",'Data Cleaning &amp; Transf'!H439&gt;1000,"High")</f>
        <v>Medium</v>
      </c>
    </row>
    <row r="440" spans="1:14" x14ac:dyDescent="0.3">
      <c r="A440" t="s">
        <v>449</v>
      </c>
      <c r="B440" s="2" t="s">
        <v>768</v>
      </c>
      <c r="C440" s="9" t="str">
        <f t="shared" si="12"/>
        <v>08-2023</v>
      </c>
      <c r="D440" t="s">
        <v>785</v>
      </c>
      <c r="E440" t="s">
        <v>787</v>
      </c>
      <c r="F440" t="s">
        <v>801</v>
      </c>
      <c r="G440" t="s">
        <v>1231</v>
      </c>
      <c r="H440">
        <v>196.52</v>
      </c>
      <c r="I440">
        <v>8</v>
      </c>
      <c r="J440">
        <v>0.05</v>
      </c>
      <c r="K440">
        <v>12.37</v>
      </c>
      <c r="L440" t="s">
        <v>1290</v>
      </c>
      <c r="M440" s="6">
        <f t="shared" si="13"/>
        <v>6.2945247303073465E-2</v>
      </c>
      <c r="N440" s="6" t="str" cm="1">
        <f t="array" ref="N440">_xlfn.IFS('Data Cleaning &amp; Transf'!H440&lt;500,"LOW",AND('Data Cleaning &amp; Transf'!H440 &gt;500,'Data Cleaning &amp; Transf'!H440&lt;1000),"Medium",'Data Cleaning &amp; Transf'!H440&gt;1000,"High")</f>
        <v>LOW</v>
      </c>
    </row>
    <row r="441" spans="1:14" x14ac:dyDescent="0.3">
      <c r="A441" t="s">
        <v>450</v>
      </c>
      <c r="B441" s="2" t="s">
        <v>769</v>
      </c>
      <c r="C441" s="9" t="str">
        <f t="shared" si="12"/>
        <v>01-2023</v>
      </c>
      <c r="D441" t="s">
        <v>786</v>
      </c>
      <c r="E441" t="s">
        <v>789</v>
      </c>
      <c r="F441" t="s">
        <v>799</v>
      </c>
      <c r="G441" t="s">
        <v>1232</v>
      </c>
      <c r="H441">
        <v>1261</v>
      </c>
      <c r="I441">
        <v>8</v>
      </c>
      <c r="J441">
        <v>0.15</v>
      </c>
      <c r="K441">
        <v>49.06</v>
      </c>
      <c r="L441" t="s">
        <v>1291</v>
      </c>
      <c r="M441" s="6">
        <f t="shared" si="13"/>
        <v>3.8905630452022208E-2</v>
      </c>
      <c r="N441" s="6" t="str" cm="1">
        <f t="array" ref="N441">_xlfn.IFS('Data Cleaning &amp; Transf'!H441&lt;500,"LOW",AND('Data Cleaning &amp; Transf'!H441 &gt;500,'Data Cleaning &amp; Transf'!H441&lt;1000),"Medium",'Data Cleaning &amp; Transf'!H441&gt;1000,"High")</f>
        <v>High</v>
      </c>
    </row>
    <row r="442" spans="1:14" x14ac:dyDescent="0.3">
      <c r="A442" t="s">
        <v>451</v>
      </c>
      <c r="B442" s="2" t="s">
        <v>542</v>
      </c>
      <c r="C442" s="9" t="str">
        <f t="shared" si="12"/>
        <v>06-2023</v>
      </c>
      <c r="D442" t="s">
        <v>784</v>
      </c>
      <c r="E442" t="s">
        <v>787</v>
      </c>
      <c r="F442" t="s">
        <v>790</v>
      </c>
      <c r="G442" t="s">
        <v>1233</v>
      </c>
      <c r="H442">
        <v>552.91999999999996</v>
      </c>
      <c r="I442">
        <v>2</v>
      </c>
      <c r="J442">
        <v>0</v>
      </c>
      <c r="K442">
        <v>49.57</v>
      </c>
      <c r="L442" t="s">
        <v>1291</v>
      </c>
      <c r="M442" s="6">
        <f t="shared" si="13"/>
        <v>8.9651305794690023E-2</v>
      </c>
      <c r="N442" s="6" t="str" cm="1">
        <f t="array" ref="N442">_xlfn.IFS('Data Cleaning &amp; Transf'!H442&lt;500,"LOW",AND('Data Cleaning &amp; Transf'!H442 &gt;500,'Data Cleaning &amp; Transf'!H442&lt;1000),"Medium",'Data Cleaning &amp; Transf'!H442&gt;1000,"High")</f>
        <v>Medium</v>
      </c>
    </row>
    <row r="443" spans="1:14" x14ac:dyDescent="0.3">
      <c r="A443" t="s">
        <v>452</v>
      </c>
      <c r="B443" s="2" t="s">
        <v>555</v>
      </c>
      <c r="C443" s="9" t="str">
        <f t="shared" si="12"/>
        <v>07-2023</v>
      </c>
      <c r="D443" t="s">
        <v>783</v>
      </c>
      <c r="E443" t="s">
        <v>788</v>
      </c>
      <c r="F443" t="s">
        <v>795</v>
      </c>
      <c r="G443" t="s">
        <v>1234</v>
      </c>
      <c r="H443">
        <v>204.63</v>
      </c>
      <c r="I443">
        <v>3</v>
      </c>
      <c r="J443">
        <v>0.1</v>
      </c>
      <c r="K443">
        <v>-9.15</v>
      </c>
      <c r="L443" t="s">
        <v>1291</v>
      </c>
      <c r="M443" s="6">
        <f t="shared" si="13"/>
        <v>-4.4714851194839471E-2</v>
      </c>
      <c r="N443" s="6" t="str" cm="1">
        <f t="array" ref="N443">_xlfn.IFS('Data Cleaning &amp; Transf'!H443&lt;500,"LOW",AND('Data Cleaning &amp; Transf'!H443 &gt;500,'Data Cleaning &amp; Transf'!H443&lt;1000),"Medium",'Data Cleaning &amp; Transf'!H443&gt;1000,"High")</f>
        <v>LOW</v>
      </c>
    </row>
    <row r="444" spans="1:14" x14ac:dyDescent="0.3">
      <c r="A444" t="s">
        <v>453</v>
      </c>
      <c r="B444" s="2" t="s">
        <v>612</v>
      </c>
      <c r="C444" s="9" t="str">
        <f t="shared" si="12"/>
        <v>03-2023</v>
      </c>
      <c r="D444" t="s">
        <v>785</v>
      </c>
      <c r="E444" t="s">
        <v>789</v>
      </c>
      <c r="F444" t="s">
        <v>798</v>
      </c>
      <c r="G444" t="s">
        <v>1235</v>
      </c>
      <c r="H444">
        <v>1973.94</v>
      </c>
      <c r="I444">
        <v>9</v>
      </c>
      <c r="J444">
        <v>0.1</v>
      </c>
      <c r="K444">
        <v>321.89999999999998</v>
      </c>
      <c r="L444" t="s">
        <v>1289</v>
      </c>
      <c r="M444" s="6">
        <f t="shared" si="13"/>
        <v>0.16307486549743153</v>
      </c>
      <c r="N444" s="6" t="str" cm="1">
        <f t="array" ref="N444">_xlfn.IFS('Data Cleaning &amp; Transf'!H444&lt;500,"LOW",AND('Data Cleaning &amp; Transf'!H444 &gt;500,'Data Cleaning &amp; Transf'!H444&lt;1000),"Medium",'Data Cleaning &amp; Transf'!H444&gt;1000,"High")</f>
        <v>High</v>
      </c>
    </row>
    <row r="445" spans="1:14" x14ac:dyDescent="0.3">
      <c r="A445" t="s">
        <v>454</v>
      </c>
      <c r="B445" s="2" t="s">
        <v>672</v>
      </c>
      <c r="C445" s="9" t="str">
        <f t="shared" si="12"/>
        <v>03-2023</v>
      </c>
      <c r="D445" t="s">
        <v>785</v>
      </c>
      <c r="E445" t="s">
        <v>787</v>
      </c>
      <c r="F445" t="s">
        <v>800</v>
      </c>
      <c r="G445" t="s">
        <v>1236</v>
      </c>
      <c r="H445">
        <v>777.93</v>
      </c>
      <c r="I445">
        <v>9</v>
      </c>
      <c r="J445">
        <v>0</v>
      </c>
      <c r="K445">
        <v>229.85</v>
      </c>
      <c r="L445" t="s">
        <v>1290</v>
      </c>
      <c r="M445" s="6">
        <f t="shared" si="13"/>
        <v>0.29546360212358441</v>
      </c>
      <c r="N445" s="6" t="str" cm="1">
        <f t="array" ref="N445">_xlfn.IFS('Data Cleaning &amp; Transf'!H445&lt;500,"LOW",AND('Data Cleaning &amp; Transf'!H445 &gt;500,'Data Cleaning &amp; Transf'!H445&lt;1000),"Medium",'Data Cleaning &amp; Transf'!H445&gt;1000,"High")</f>
        <v>Medium</v>
      </c>
    </row>
    <row r="446" spans="1:14" x14ac:dyDescent="0.3">
      <c r="A446" t="s">
        <v>455</v>
      </c>
      <c r="B446" s="2" t="s">
        <v>530</v>
      </c>
      <c r="C446" s="9" t="str">
        <f t="shared" si="12"/>
        <v>04-2023</v>
      </c>
      <c r="D446" t="s">
        <v>784</v>
      </c>
      <c r="E446" t="s">
        <v>789</v>
      </c>
      <c r="F446" t="s">
        <v>798</v>
      </c>
      <c r="G446" t="s">
        <v>1237</v>
      </c>
      <c r="H446">
        <v>953.89</v>
      </c>
      <c r="I446">
        <v>4</v>
      </c>
      <c r="J446">
        <v>0.05</v>
      </c>
      <c r="K446">
        <v>67.52</v>
      </c>
      <c r="L446" t="s">
        <v>1291</v>
      </c>
      <c r="M446" s="6">
        <f t="shared" si="13"/>
        <v>7.078384300076529E-2</v>
      </c>
      <c r="N446" s="6" t="str" cm="1">
        <f t="array" ref="N446">_xlfn.IFS('Data Cleaning &amp; Transf'!H446&lt;500,"LOW",AND('Data Cleaning &amp; Transf'!H446 &gt;500,'Data Cleaning &amp; Transf'!H446&lt;1000),"Medium",'Data Cleaning &amp; Transf'!H446&gt;1000,"High")</f>
        <v>Medium</v>
      </c>
    </row>
    <row r="447" spans="1:14" x14ac:dyDescent="0.3">
      <c r="A447" t="s">
        <v>456</v>
      </c>
      <c r="B447" s="2" t="s">
        <v>589</v>
      </c>
      <c r="C447" s="9" t="str">
        <f t="shared" si="12"/>
        <v>01-2023</v>
      </c>
      <c r="D447" t="s">
        <v>783</v>
      </c>
      <c r="E447" t="s">
        <v>788</v>
      </c>
      <c r="F447" t="s">
        <v>793</v>
      </c>
      <c r="G447" t="s">
        <v>1238</v>
      </c>
      <c r="H447">
        <v>863.13</v>
      </c>
      <c r="I447">
        <v>5</v>
      </c>
      <c r="J447">
        <v>0.1</v>
      </c>
      <c r="K447">
        <v>136.11000000000001</v>
      </c>
      <c r="L447" t="s">
        <v>1289</v>
      </c>
      <c r="M447" s="6">
        <f t="shared" si="13"/>
        <v>0.1576935108268743</v>
      </c>
      <c r="N447" s="6" t="str" cm="1">
        <f t="array" ref="N447">_xlfn.IFS('Data Cleaning &amp; Transf'!H447&lt;500,"LOW",AND('Data Cleaning &amp; Transf'!H447 &gt;500,'Data Cleaning &amp; Transf'!H447&lt;1000),"Medium",'Data Cleaning &amp; Transf'!H447&gt;1000,"High")</f>
        <v>Medium</v>
      </c>
    </row>
    <row r="448" spans="1:14" x14ac:dyDescent="0.3">
      <c r="A448" t="s">
        <v>457</v>
      </c>
      <c r="B448" s="2" t="s">
        <v>770</v>
      </c>
      <c r="C448" s="9" t="str">
        <f t="shared" si="12"/>
        <v>11-2023</v>
      </c>
      <c r="D448" t="s">
        <v>784</v>
      </c>
      <c r="E448" t="s">
        <v>787</v>
      </c>
      <c r="F448" t="s">
        <v>801</v>
      </c>
      <c r="G448" t="s">
        <v>1239</v>
      </c>
      <c r="H448">
        <v>1350.42</v>
      </c>
      <c r="I448">
        <v>10</v>
      </c>
      <c r="J448">
        <v>0.15</v>
      </c>
      <c r="K448">
        <v>-132.61000000000001</v>
      </c>
      <c r="L448" t="s">
        <v>1289</v>
      </c>
      <c r="M448" s="6">
        <f t="shared" si="13"/>
        <v>-9.8199078805112486E-2</v>
      </c>
      <c r="N448" s="6" t="str" cm="1">
        <f t="array" ref="N448">_xlfn.IFS('Data Cleaning &amp; Transf'!H448&lt;500,"LOW",AND('Data Cleaning &amp; Transf'!H448 &gt;500,'Data Cleaning &amp; Transf'!H448&lt;1000),"Medium",'Data Cleaning &amp; Transf'!H448&gt;1000,"High")</f>
        <v>High</v>
      </c>
    </row>
    <row r="449" spans="1:14" x14ac:dyDescent="0.3">
      <c r="A449" t="s">
        <v>458</v>
      </c>
      <c r="B449" s="2" t="s">
        <v>573</v>
      </c>
      <c r="C449" s="9" t="str">
        <f t="shared" si="12"/>
        <v>10-2023</v>
      </c>
      <c r="D449" t="s">
        <v>783</v>
      </c>
      <c r="E449" t="s">
        <v>788</v>
      </c>
      <c r="F449" t="s">
        <v>795</v>
      </c>
      <c r="G449" t="s">
        <v>1240</v>
      </c>
      <c r="H449">
        <v>914.84</v>
      </c>
      <c r="I449">
        <v>6</v>
      </c>
      <c r="J449">
        <v>0.2</v>
      </c>
      <c r="K449">
        <v>71.41</v>
      </c>
      <c r="L449" t="s">
        <v>1291</v>
      </c>
      <c r="M449" s="6">
        <f t="shared" si="13"/>
        <v>7.805736522233396E-2</v>
      </c>
      <c r="N449" s="6" t="str" cm="1">
        <f t="array" ref="N449">_xlfn.IFS('Data Cleaning &amp; Transf'!H449&lt;500,"LOW",AND('Data Cleaning &amp; Transf'!H449 &gt;500,'Data Cleaning &amp; Transf'!H449&lt;1000),"Medium",'Data Cleaning &amp; Transf'!H449&gt;1000,"High")</f>
        <v>Medium</v>
      </c>
    </row>
    <row r="450" spans="1:14" x14ac:dyDescent="0.3">
      <c r="A450" t="s">
        <v>459</v>
      </c>
      <c r="B450" s="2" t="s">
        <v>771</v>
      </c>
      <c r="C450" s="9" t="str">
        <f t="shared" si="12"/>
        <v>01-2023</v>
      </c>
      <c r="D450" t="s">
        <v>784</v>
      </c>
      <c r="E450" t="s">
        <v>788</v>
      </c>
      <c r="F450" t="s">
        <v>795</v>
      </c>
      <c r="G450" t="s">
        <v>1241</v>
      </c>
      <c r="H450">
        <v>328.19</v>
      </c>
      <c r="I450">
        <v>5</v>
      </c>
      <c r="J450">
        <v>0.2</v>
      </c>
      <c r="K450">
        <v>-8.01</v>
      </c>
      <c r="L450" t="s">
        <v>1291</v>
      </c>
      <c r="M450" s="6">
        <f t="shared" si="13"/>
        <v>-2.4406593741430269E-2</v>
      </c>
      <c r="N450" s="6" t="str" cm="1">
        <f t="array" ref="N450">_xlfn.IFS('Data Cleaning &amp; Transf'!H450&lt;500,"LOW",AND('Data Cleaning &amp; Transf'!H450 &gt;500,'Data Cleaning &amp; Transf'!H450&lt;1000),"Medium",'Data Cleaning &amp; Transf'!H450&gt;1000,"High")</f>
        <v>LOW</v>
      </c>
    </row>
    <row r="451" spans="1:14" x14ac:dyDescent="0.3">
      <c r="A451" t="s">
        <v>460</v>
      </c>
      <c r="B451" s="2" t="s">
        <v>755</v>
      </c>
      <c r="C451" s="9" t="str">
        <f t="shared" ref="C451:C501" si="14">TEXT(B451,"MM-YYYY")</f>
        <v>12-2023</v>
      </c>
      <c r="D451" t="s">
        <v>786</v>
      </c>
      <c r="E451" t="s">
        <v>787</v>
      </c>
      <c r="F451" t="s">
        <v>790</v>
      </c>
      <c r="G451" t="s">
        <v>1242</v>
      </c>
      <c r="H451">
        <v>1717.82</v>
      </c>
      <c r="I451">
        <v>2</v>
      </c>
      <c r="J451">
        <v>0.15</v>
      </c>
      <c r="K451">
        <v>-33.06</v>
      </c>
      <c r="L451" t="s">
        <v>1290</v>
      </c>
      <c r="M451" s="6">
        <f t="shared" ref="M451:M501" si="15">K451/H451</f>
        <v>-1.9245322559988825E-2</v>
      </c>
      <c r="N451" s="6" t="str" cm="1">
        <f t="array" ref="N451">_xlfn.IFS('Data Cleaning &amp; Transf'!H451&lt;500,"LOW",AND('Data Cleaning &amp; Transf'!H451 &gt;500,'Data Cleaning &amp; Transf'!H451&lt;1000),"Medium",'Data Cleaning &amp; Transf'!H451&gt;1000,"High")</f>
        <v>High</v>
      </c>
    </row>
    <row r="452" spans="1:14" x14ac:dyDescent="0.3">
      <c r="A452" t="s">
        <v>461</v>
      </c>
      <c r="B452" s="2" t="s">
        <v>772</v>
      </c>
      <c r="C452" s="9" t="str">
        <f t="shared" si="14"/>
        <v>01-2023</v>
      </c>
      <c r="D452" t="s">
        <v>784</v>
      </c>
      <c r="E452" t="s">
        <v>788</v>
      </c>
      <c r="F452" t="s">
        <v>791</v>
      </c>
      <c r="G452" t="s">
        <v>1243</v>
      </c>
      <c r="H452">
        <v>1293.1099999999999</v>
      </c>
      <c r="I452">
        <v>5</v>
      </c>
      <c r="J452">
        <v>0.1</v>
      </c>
      <c r="K452">
        <v>145.05000000000001</v>
      </c>
      <c r="L452" t="s">
        <v>1289</v>
      </c>
      <c r="M452" s="6">
        <f t="shared" si="15"/>
        <v>0.11217143166474625</v>
      </c>
      <c r="N452" s="6" t="str" cm="1">
        <f t="array" ref="N452">_xlfn.IFS('Data Cleaning &amp; Transf'!H452&lt;500,"LOW",AND('Data Cleaning &amp; Transf'!H452 &gt;500,'Data Cleaning &amp; Transf'!H452&lt;1000),"Medium",'Data Cleaning &amp; Transf'!H452&gt;1000,"High")</f>
        <v>High</v>
      </c>
    </row>
    <row r="453" spans="1:14" x14ac:dyDescent="0.3">
      <c r="A453" t="s">
        <v>462</v>
      </c>
      <c r="B453" s="2" t="s">
        <v>634</v>
      </c>
      <c r="C453" s="9" t="str">
        <f t="shared" si="14"/>
        <v>06-2023</v>
      </c>
      <c r="D453" t="s">
        <v>783</v>
      </c>
      <c r="E453" t="s">
        <v>787</v>
      </c>
      <c r="F453" t="s">
        <v>800</v>
      </c>
      <c r="G453" t="s">
        <v>1244</v>
      </c>
      <c r="H453">
        <v>782.28</v>
      </c>
      <c r="I453">
        <v>9</v>
      </c>
      <c r="J453">
        <v>0</v>
      </c>
      <c r="K453">
        <v>127.52</v>
      </c>
      <c r="L453" t="s">
        <v>1290</v>
      </c>
      <c r="M453" s="6">
        <f t="shared" si="15"/>
        <v>0.1630106867106407</v>
      </c>
      <c r="N453" s="6" t="str" cm="1">
        <f t="array" ref="N453">_xlfn.IFS('Data Cleaning &amp; Transf'!H453&lt;500,"LOW",AND('Data Cleaning &amp; Transf'!H453 &gt;500,'Data Cleaning &amp; Transf'!H453&lt;1000),"Medium",'Data Cleaning &amp; Transf'!H453&gt;1000,"High")</f>
        <v>Medium</v>
      </c>
    </row>
    <row r="454" spans="1:14" x14ac:dyDescent="0.3">
      <c r="A454" t="s">
        <v>463</v>
      </c>
      <c r="B454" s="2" t="s">
        <v>573</v>
      </c>
      <c r="C454" s="9" t="str">
        <f t="shared" si="14"/>
        <v>10-2023</v>
      </c>
      <c r="D454" t="s">
        <v>783</v>
      </c>
      <c r="E454" t="s">
        <v>788</v>
      </c>
      <c r="F454" t="s">
        <v>793</v>
      </c>
      <c r="G454" t="s">
        <v>1245</v>
      </c>
      <c r="H454">
        <v>108.96</v>
      </c>
      <c r="I454">
        <v>7</v>
      </c>
      <c r="J454">
        <v>0.15</v>
      </c>
      <c r="K454">
        <v>-6</v>
      </c>
      <c r="L454" t="s">
        <v>1289</v>
      </c>
      <c r="M454" s="6">
        <f t="shared" si="15"/>
        <v>-5.506607929515419E-2</v>
      </c>
      <c r="N454" s="6" t="str" cm="1">
        <f t="array" ref="N454">_xlfn.IFS('Data Cleaning &amp; Transf'!H454&lt;500,"LOW",AND('Data Cleaning &amp; Transf'!H454 &gt;500,'Data Cleaning &amp; Transf'!H454&lt;1000),"Medium",'Data Cleaning &amp; Transf'!H454&gt;1000,"High")</f>
        <v>LOW</v>
      </c>
    </row>
    <row r="455" spans="1:14" x14ac:dyDescent="0.3">
      <c r="A455" t="s">
        <v>464</v>
      </c>
      <c r="B455" s="2" t="s">
        <v>771</v>
      </c>
      <c r="C455" s="9" t="str">
        <f t="shared" si="14"/>
        <v>01-2023</v>
      </c>
      <c r="D455" t="s">
        <v>783</v>
      </c>
      <c r="E455" t="s">
        <v>788</v>
      </c>
      <c r="F455" t="s">
        <v>796</v>
      </c>
      <c r="G455" t="s">
        <v>1246</v>
      </c>
      <c r="H455">
        <v>322.64999999999998</v>
      </c>
      <c r="I455">
        <v>9</v>
      </c>
      <c r="J455">
        <v>0.15</v>
      </c>
      <c r="K455">
        <v>5.09</v>
      </c>
      <c r="L455" t="s">
        <v>1291</v>
      </c>
      <c r="M455" s="6">
        <f t="shared" si="15"/>
        <v>1.5775608244227492E-2</v>
      </c>
      <c r="N455" s="6" t="str" cm="1">
        <f t="array" ref="N455">_xlfn.IFS('Data Cleaning &amp; Transf'!H455&lt;500,"LOW",AND('Data Cleaning &amp; Transf'!H455 &gt;500,'Data Cleaning &amp; Transf'!H455&lt;1000),"Medium",'Data Cleaning &amp; Transf'!H455&gt;1000,"High")</f>
        <v>LOW</v>
      </c>
    </row>
    <row r="456" spans="1:14" x14ac:dyDescent="0.3">
      <c r="A456" t="s">
        <v>465</v>
      </c>
      <c r="B456" s="2" t="s">
        <v>615</v>
      </c>
      <c r="C456" s="9" t="str">
        <f t="shared" si="14"/>
        <v>10-2023</v>
      </c>
      <c r="D456" t="s">
        <v>783</v>
      </c>
      <c r="E456" t="s">
        <v>788</v>
      </c>
      <c r="F456" t="s">
        <v>795</v>
      </c>
      <c r="G456" t="s">
        <v>1247</v>
      </c>
      <c r="H456">
        <v>1755.31</v>
      </c>
      <c r="I456">
        <v>9</v>
      </c>
      <c r="J456">
        <v>0.2</v>
      </c>
      <c r="K456">
        <v>-181.99</v>
      </c>
      <c r="L456" t="s">
        <v>1290</v>
      </c>
      <c r="M456" s="6">
        <f t="shared" si="15"/>
        <v>-0.10367969190627298</v>
      </c>
      <c r="N456" s="6" t="str" cm="1">
        <f t="array" ref="N456">_xlfn.IFS('Data Cleaning &amp; Transf'!H456&lt;500,"LOW",AND('Data Cleaning &amp; Transf'!H456 &gt;500,'Data Cleaning &amp; Transf'!H456&lt;1000),"Medium",'Data Cleaning &amp; Transf'!H456&gt;1000,"High")</f>
        <v>High</v>
      </c>
    </row>
    <row r="457" spans="1:14" x14ac:dyDescent="0.3">
      <c r="A457" t="s">
        <v>466</v>
      </c>
      <c r="B457" s="2" t="s">
        <v>585</v>
      </c>
      <c r="C457" s="9" t="str">
        <f t="shared" si="14"/>
        <v>04-2023</v>
      </c>
      <c r="D457" t="s">
        <v>785</v>
      </c>
      <c r="E457" t="s">
        <v>789</v>
      </c>
      <c r="F457" t="s">
        <v>799</v>
      </c>
      <c r="G457" t="s">
        <v>1048</v>
      </c>
      <c r="H457">
        <v>1494.71</v>
      </c>
      <c r="I457">
        <v>7</v>
      </c>
      <c r="J457">
        <v>0.2</v>
      </c>
      <c r="K457">
        <v>29.95</v>
      </c>
      <c r="L457" t="s">
        <v>1291</v>
      </c>
      <c r="M457" s="6">
        <f t="shared" si="15"/>
        <v>2.0037331656307913E-2</v>
      </c>
      <c r="N457" s="6" t="str" cm="1">
        <f t="array" ref="N457">_xlfn.IFS('Data Cleaning &amp; Transf'!H457&lt;500,"LOW",AND('Data Cleaning &amp; Transf'!H457 &gt;500,'Data Cleaning &amp; Transf'!H457&lt;1000),"Medium",'Data Cleaning &amp; Transf'!H457&gt;1000,"High")</f>
        <v>High</v>
      </c>
    </row>
    <row r="458" spans="1:14" x14ac:dyDescent="0.3">
      <c r="A458" t="s">
        <v>467</v>
      </c>
      <c r="B458" s="2" t="s">
        <v>672</v>
      </c>
      <c r="C458" s="9" t="str">
        <f t="shared" si="14"/>
        <v>03-2023</v>
      </c>
      <c r="D458" t="s">
        <v>785</v>
      </c>
      <c r="E458" t="s">
        <v>787</v>
      </c>
      <c r="F458" t="s">
        <v>800</v>
      </c>
      <c r="G458" t="s">
        <v>1248</v>
      </c>
      <c r="H458">
        <v>1206.77</v>
      </c>
      <c r="I458">
        <v>2</v>
      </c>
      <c r="J458">
        <v>0.2</v>
      </c>
      <c r="K458">
        <v>-161.26</v>
      </c>
      <c r="L458" t="s">
        <v>1289</v>
      </c>
      <c r="M458" s="6">
        <f t="shared" si="15"/>
        <v>-0.13362944057276863</v>
      </c>
      <c r="N458" s="6" t="str" cm="1">
        <f t="array" ref="N458">_xlfn.IFS('Data Cleaning &amp; Transf'!H458&lt;500,"LOW",AND('Data Cleaning &amp; Transf'!H458 &gt;500,'Data Cleaning &amp; Transf'!H458&lt;1000),"Medium",'Data Cleaning &amp; Transf'!H458&gt;1000,"High")</f>
        <v>High</v>
      </c>
    </row>
    <row r="459" spans="1:14" x14ac:dyDescent="0.3">
      <c r="A459" t="s">
        <v>468</v>
      </c>
      <c r="B459" s="2" t="s">
        <v>763</v>
      </c>
      <c r="C459" s="9" t="str">
        <f t="shared" si="14"/>
        <v>03-2023</v>
      </c>
      <c r="D459" t="s">
        <v>783</v>
      </c>
      <c r="E459" t="s">
        <v>787</v>
      </c>
      <c r="F459" t="s">
        <v>790</v>
      </c>
      <c r="G459" t="s">
        <v>1249</v>
      </c>
      <c r="H459">
        <v>310.82</v>
      </c>
      <c r="I459">
        <v>3</v>
      </c>
      <c r="J459">
        <v>0.05</v>
      </c>
      <c r="K459">
        <v>22.54</v>
      </c>
      <c r="L459" t="s">
        <v>1289</v>
      </c>
      <c r="M459" s="6">
        <f t="shared" si="15"/>
        <v>7.2517855993822794E-2</v>
      </c>
      <c r="N459" s="6" t="str" cm="1">
        <f t="array" ref="N459">_xlfn.IFS('Data Cleaning &amp; Transf'!H459&lt;500,"LOW",AND('Data Cleaning &amp; Transf'!H459 &gt;500,'Data Cleaning &amp; Transf'!H459&lt;1000),"Medium",'Data Cleaning &amp; Transf'!H459&gt;1000,"High")</f>
        <v>LOW</v>
      </c>
    </row>
    <row r="460" spans="1:14" x14ac:dyDescent="0.3">
      <c r="A460" t="s">
        <v>469</v>
      </c>
      <c r="B460" s="2" t="s">
        <v>726</v>
      </c>
      <c r="C460" s="9" t="str">
        <f t="shared" si="14"/>
        <v>05-2023</v>
      </c>
      <c r="D460" t="s">
        <v>786</v>
      </c>
      <c r="E460" t="s">
        <v>789</v>
      </c>
      <c r="F460" t="s">
        <v>799</v>
      </c>
      <c r="G460" t="s">
        <v>1250</v>
      </c>
      <c r="H460">
        <v>1808.77</v>
      </c>
      <c r="I460">
        <v>10</v>
      </c>
      <c r="J460">
        <v>0.05</v>
      </c>
      <c r="K460">
        <v>226.68</v>
      </c>
      <c r="L460" t="s">
        <v>1291</v>
      </c>
      <c r="M460" s="6">
        <f t="shared" si="15"/>
        <v>0.12532273312803729</v>
      </c>
      <c r="N460" s="6" t="str" cm="1">
        <f t="array" ref="N460">_xlfn.IFS('Data Cleaning &amp; Transf'!H460&lt;500,"LOW",AND('Data Cleaning &amp; Transf'!H460 &gt;500,'Data Cleaning &amp; Transf'!H460&lt;1000),"Medium",'Data Cleaning &amp; Transf'!H460&gt;1000,"High")</f>
        <v>High</v>
      </c>
    </row>
    <row r="461" spans="1:14" x14ac:dyDescent="0.3">
      <c r="A461" t="s">
        <v>470</v>
      </c>
      <c r="B461" s="2" t="s">
        <v>711</v>
      </c>
      <c r="C461" s="9" t="str">
        <f t="shared" si="14"/>
        <v>05-2023</v>
      </c>
      <c r="D461" t="s">
        <v>784</v>
      </c>
      <c r="E461" t="s">
        <v>787</v>
      </c>
      <c r="F461" t="s">
        <v>801</v>
      </c>
      <c r="G461" t="s">
        <v>1251</v>
      </c>
      <c r="H461">
        <v>1179.01</v>
      </c>
      <c r="I461">
        <v>6</v>
      </c>
      <c r="J461">
        <v>0</v>
      </c>
      <c r="K461">
        <v>288.18</v>
      </c>
      <c r="L461" t="s">
        <v>1289</v>
      </c>
      <c r="M461" s="6">
        <f t="shared" si="15"/>
        <v>0.24442540775735574</v>
      </c>
      <c r="N461" s="6" t="str" cm="1">
        <f t="array" ref="N461">_xlfn.IFS('Data Cleaning &amp; Transf'!H461&lt;500,"LOW",AND('Data Cleaning &amp; Transf'!H461 &gt;500,'Data Cleaning &amp; Transf'!H461&lt;1000),"Medium",'Data Cleaning &amp; Transf'!H461&gt;1000,"High")</f>
        <v>High</v>
      </c>
    </row>
    <row r="462" spans="1:14" x14ac:dyDescent="0.3">
      <c r="A462" t="s">
        <v>471</v>
      </c>
      <c r="B462" s="2" t="s">
        <v>773</v>
      </c>
      <c r="C462" s="9" t="str">
        <f t="shared" si="14"/>
        <v>09-2023</v>
      </c>
      <c r="D462" t="s">
        <v>784</v>
      </c>
      <c r="E462" t="s">
        <v>787</v>
      </c>
      <c r="F462" t="s">
        <v>790</v>
      </c>
      <c r="G462" t="s">
        <v>1252</v>
      </c>
      <c r="H462">
        <v>525.74</v>
      </c>
      <c r="I462">
        <v>6</v>
      </c>
      <c r="J462">
        <v>0.2</v>
      </c>
      <c r="K462">
        <v>-12.23</v>
      </c>
      <c r="L462" t="s">
        <v>1291</v>
      </c>
      <c r="M462" s="6">
        <f t="shared" si="15"/>
        <v>-2.3262449119336556E-2</v>
      </c>
      <c r="N462" s="6" t="str" cm="1">
        <f t="array" ref="N462">_xlfn.IFS('Data Cleaning &amp; Transf'!H462&lt;500,"LOW",AND('Data Cleaning &amp; Transf'!H462 &gt;500,'Data Cleaning &amp; Transf'!H462&lt;1000),"Medium",'Data Cleaning &amp; Transf'!H462&gt;1000,"High")</f>
        <v>Medium</v>
      </c>
    </row>
    <row r="463" spans="1:14" x14ac:dyDescent="0.3">
      <c r="A463" t="s">
        <v>472</v>
      </c>
      <c r="B463" s="2" t="s">
        <v>671</v>
      </c>
      <c r="C463" s="9" t="str">
        <f t="shared" si="14"/>
        <v>12-2023</v>
      </c>
      <c r="D463" t="s">
        <v>786</v>
      </c>
      <c r="E463" t="s">
        <v>789</v>
      </c>
      <c r="F463" t="s">
        <v>797</v>
      </c>
      <c r="G463" t="s">
        <v>1253</v>
      </c>
      <c r="H463">
        <v>1878.55</v>
      </c>
      <c r="I463">
        <v>9</v>
      </c>
      <c r="J463">
        <v>0</v>
      </c>
      <c r="K463">
        <v>509.65</v>
      </c>
      <c r="L463" t="s">
        <v>1291</v>
      </c>
      <c r="M463" s="6">
        <f t="shared" si="15"/>
        <v>0.27129967261983978</v>
      </c>
      <c r="N463" s="6" t="str" cm="1">
        <f t="array" ref="N463">_xlfn.IFS('Data Cleaning &amp; Transf'!H463&lt;500,"LOW",AND('Data Cleaning &amp; Transf'!H463 &gt;500,'Data Cleaning &amp; Transf'!H463&lt;1000),"Medium",'Data Cleaning &amp; Transf'!H463&gt;1000,"High")</f>
        <v>High</v>
      </c>
    </row>
    <row r="464" spans="1:14" x14ac:dyDescent="0.3">
      <c r="A464" t="s">
        <v>473</v>
      </c>
      <c r="B464" s="2" t="s">
        <v>675</v>
      </c>
      <c r="C464" s="9" t="str">
        <f t="shared" si="14"/>
        <v>11-2023</v>
      </c>
      <c r="D464" t="s">
        <v>784</v>
      </c>
      <c r="E464" t="s">
        <v>788</v>
      </c>
      <c r="F464" t="s">
        <v>796</v>
      </c>
      <c r="G464" t="s">
        <v>1254</v>
      </c>
      <c r="H464">
        <v>1328.16</v>
      </c>
      <c r="I464">
        <v>5</v>
      </c>
      <c r="J464">
        <v>0</v>
      </c>
      <c r="K464">
        <v>335.72</v>
      </c>
      <c r="L464" t="s">
        <v>1290</v>
      </c>
      <c r="M464" s="6">
        <f t="shared" si="15"/>
        <v>0.2527707505119865</v>
      </c>
      <c r="N464" s="6" t="str" cm="1">
        <f t="array" ref="N464">_xlfn.IFS('Data Cleaning &amp; Transf'!H464&lt;500,"LOW",AND('Data Cleaning &amp; Transf'!H464 &gt;500,'Data Cleaning &amp; Transf'!H464&lt;1000),"Medium",'Data Cleaning &amp; Transf'!H464&gt;1000,"High")</f>
        <v>High</v>
      </c>
    </row>
    <row r="465" spans="1:14" x14ac:dyDescent="0.3">
      <c r="A465" t="s">
        <v>474</v>
      </c>
      <c r="B465" s="2" t="s">
        <v>774</v>
      </c>
      <c r="C465" s="9" t="str">
        <f t="shared" si="14"/>
        <v>07-2023</v>
      </c>
      <c r="D465" t="s">
        <v>783</v>
      </c>
      <c r="E465" t="s">
        <v>787</v>
      </c>
      <c r="F465" t="s">
        <v>801</v>
      </c>
      <c r="G465" t="s">
        <v>1255</v>
      </c>
      <c r="H465">
        <v>429.89</v>
      </c>
      <c r="I465">
        <v>3</v>
      </c>
      <c r="J465">
        <v>0.2</v>
      </c>
      <c r="K465">
        <v>-12.98</v>
      </c>
      <c r="L465" t="s">
        <v>1291</v>
      </c>
      <c r="M465" s="6">
        <f t="shared" si="15"/>
        <v>-3.0193770499430089E-2</v>
      </c>
      <c r="N465" s="6" t="str" cm="1">
        <f t="array" ref="N465">_xlfn.IFS('Data Cleaning &amp; Transf'!H465&lt;500,"LOW",AND('Data Cleaning &amp; Transf'!H465 &gt;500,'Data Cleaning &amp; Transf'!H465&lt;1000),"Medium",'Data Cleaning &amp; Transf'!H465&gt;1000,"High")</f>
        <v>LOW</v>
      </c>
    </row>
    <row r="466" spans="1:14" x14ac:dyDescent="0.3">
      <c r="A466" t="s">
        <v>475</v>
      </c>
      <c r="B466" s="2" t="s">
        <v>750</v>
      </c>
      <c r="C466" s="9" t="str">
        <f t="shared" si="14"/>
        <v>10-2023</v>
      </c>
      <c r="D466" t="s">
        <v>785</v>
      </c>
      <c r="E466" t="s">
        <v>787</v>
      </c>
      <c r="F466" t="s">
        <v>801</v>
      </c>
      <c r="G466" t="s">
        <v>1256</v>
      </c>
      <c r="H466">
        <v>1819.2</v>
      </c>
      <c r="I466">
        <v>10</v>
      </c>
      <c r="J466">
        <v>0.2</v>
      </c>
      <c r="K466">
        <v>-185.52</v>
      </c>
      <c r="L466" t="s">
        <v>1291</v>
      </c>
      <c r="M466" s="6">
        <f t="shared" si="15"/>
        <v>-0.10197889182058048</v>
      </c>
      <c r="N466" s="6" t="str" cm="1">
        <f t="array" ref="N466">_xlfn.IFS('Data Cleaning &amp; Transf'!H466&lt;500,"LOW",AND('Data Cleaning &amp; Transf'!H466 &gt;500,'Data Cleaning &amp; Transf'!H466&lt;1000),"Medium",'Data Cleaning &amp; Transf'!H466&gt;1000,"High")</f>
        <v>High</v>
      </c>
    </row>
    <row r="467" spans="1:14" x14ac:dyDescent="0.3">
      <c r="A467" t="s">
        <v>476</v>
      </c>
      <c r="B467" s="2" t="s">
        <v>604</v>
      </c>
      <c r="C467" s="9" t="str">
        <f t="shared" si="14"/>
        <v>06-2023</v>
      </c>
      <c r="D467" t="s">
        <v>786</v>
      </c>
      <c r="E467" t="s">
        <v>789</v>
      </c>
      <c r="F467" t="s">
        <v>799</v>
      </c>
      <c r="G467" t="s">
        <v>1257</v>
      </c>
      <c r="H467">
        <v>181.53</v>
      </c>
      <c r="I467">
        <v>6</v>
      </c>
      <c r="J467">
        <v>0.15</v>
      </c>
      <c r="K467">
        <v>14.89</v>
      </c>
      <c r="L467" t="s">
        <v>1289</v>
      </c>
      <c r="M467" s="6">
        <f t="shared" si="15"/>
        <v>8.2025009640279853E-2</v>
      </c>
      <c r="N467" s="6" t="str" cm="1">
        <f t="array" ref="N467">_xlfn.IFS('Data Cleaning &amp; Transf'!H467&lt;500,"LOW",AND('Data Cleaning &amp; Transf'!H467 &gt;500,'Data Cleaning &amp; Transf'!H467&lt;1000),"Medium",'Data Cleaning &amp; Transf'!H467&gt;1000,"High")</f>
        <v>LOW</v>
      </c>
    </row>
    <row r="468" spans="1:14" x14ac:dyDescent="0.3">
      <c r="A468" t="s">
        <v>477</v>
      </c>
      <c r="B468" s="2" t="s">
        <v>657</v>
      </c>
      <c r="C468" s="9" t="str">
        <f t="shared" si="14"/>
        <v>09-2023</v>
      </c>
      <c r="D468" t="s">
        <v>784</v>
      </c>
      <c r="E468" t="s">
        <v>789</v>
      </c>
      <c r="F468" t="s">
        <v>794</v>
      </c>
      <c r="G468" t="s">
        <v>1258</v>
      </c>
      <c r="H468">
        <v>386.19</v>
      </c>
      <c r="I468">
        <v>4</v>
      </c>
      <c r="J468">
        <v>0.2</v>
      </c>
      <c r="K468">
        <v>34.08</v>
      </c>
      <c r="L468" t="s">
        <v>1290</v>
      </c>
      <c r="M468" s="6">
        <f t="shared" si="15"/>
        <v>8.8246717936766875E-2</v>
      </c>
      <c r="N468" s="6" t="str" cm="1">
        <f t="array" ref="N468">_xlfn.IFS('Data Cleaning &amp; Transf'!H468&lt;500,"LOW",AND('Data Cleaning &amp; Transf'!H468 &gt;500,'Data Cleaning &amp; Transf'!H468&lt;1000),"Medium",'Data Cleaning &amp; Transf'!H468&gt;1000,"High")</f>
        <v>LOW</v>
      </c>
    </row>
    <row r="469" spans="1:14" x14ac:dyDescent="0.3">
      <c r="A469" t="s">
        <v>478</v>
      </c>
      <c r="B469" s="2" t="s">
        <v>556</v>
      </c>
      <c r="C469" s="9" t="str">
        <f t="shared" si="14"/>
        <v>10-2023</v>
      </c>
      <c r="D469" t="s">
        <v>784</v>
      </c>
      <c r="E469" t="s">
        <v>787</v>
      </c>
      <c r="F469" t="s">
        <v>801</v>
      </c>
      <c r="G469" t="s">
        <v>1259</v>
      </c>
      <c r="H469">
        <v>852.67</v>
      </c>
      <c r="I469">
        <v>10</v>
      </c>
      <c r="J469">
        <v>0.2</v>
      </c>
      <c r="K469">
        <v>-121.08</v>
      </c>
      <c r="L469" t="s">
        <v>1290</v>
      </c>
      <c r="M469" s="6">
        <f t="shared" si="15"/>
        <v>-0.1420010085965262</v>
      </c>
      <c r="N469" s="6" t="str" cm="1">
        <f t="array" ref="N469">_xlfn.IFS('Data Cleaning &amp; Transf'!H469&lt;500,"LOW",AND('Data Cleaning &amp; Transf'!H469 &gt;500,'Data Cleaning &amp; Transf'!H469&lt;1000),"Medium",'Data Cleaning &amp; Transf'!H469&gt;1000,"High")</f>
        <v>Medium</v>
      </c>
    </row>
    <row r="470" spans="1:14" x14ac:dyDescent="0.3">
      <c r="A470" t="s">
        <v>479</v>
      </c>
      <c r="B470" s="2" t="s">
        <v>551</v>
      </c>
      <c r="C470" s="9" t="str">
        <f t="shared" si="14"/>
        <v>08-2023</v>
      </c>
      <c r="D470" t="s">
        <v>785</v>
      </c>
      <c r="E470" t="s">
        <v>787</v>
      </c>
      <c r="F470" t="s">
        <v>792</v>
      </c>
      <c r="G470" t="s">
        <v>1260</v>
      </c>
      <c r="H470">
        <v>841.73</v>
      </c>
      <c r="I470">
        <v>9</v>
      </c>
      <c r="J470">
        <v>0.1</v>
      </c>
      <c r="K470">
        <v>58.82</v>
      </c>
      <c r="L470" t="s">
        <v>1289</v>
      </c>
      <c r="M470" s="6">
        <f t="shared" si="15"/>
        <v>6.9879890226082E-2</v>
      </c>
      <c r="N470" s="6" t="str" cm="1">
        <f t="array" ref="N470">_xlfn.IFS('Data Cleaning &amp; Transf'!H470&lt;500,"LOW",AND('Data Cleaning &amp; Transf'!H470 &gt;500,'Data Cleaning &amp; Transf'!H470&lt;1000),"Medium",'Data Cleaning &amp; Transf'!H470&gt;1000,"High")</f>
        <v>Medium</v>
      </c>
    </row>
    <row r="471" spans="1:14" x14ac:dyDescent="0.3">
      <c r="A471" t="s">
        <v>480</v>
      </c>
      <c r="B471" s="2" t="s">
        <v>647</v>
      </c>
      <c r="C471" s="9" t="str">
        <f t="shared" si="14"/>
        <v>07-2023</v>
      </c>
      <c r="D471" t="s">
        <v>786</v>
      </c>
      <c r="E471" t="s">
        <v>787</v>
      </c>
      <c r="F471" t="s">
        <v>792</v>
      </c>
      <c r="G471" t="s">
        <v>1261</v>
      </c>
      <c r="H471">
        <v>1172.8800000000001</v>
      </c>
      <c r="I471">
        <v>3</v>
      </c>
      <c r="J471">
        <v>0.2</v>
      </c>
      <c r="K471">
        <v>-106.24</v>
      </c>
      <c r="L471" t="s">
        <v>1291</v>
      </c>
      <c r="M471" s="6">
        <f t="shared" si="15"/>
        <v>-9.0580451538094256E-2</v>
      </c>
      <c r="N471" s="6" t="str" cm="1">
        <f t="array" ref="N471">_xlfn.IFS('Data Cleaning &amp; Transf'!H471&lt;500,"LOW",AND('Data Cleaning &amp; Transf'!H471 &gt;500,'Data Cleaning &amp; Transf'!H471&lt;1000),"Medium",'Data Cleaning &amp; Transf'!H471&gt;1000,"High")</f>
        <v>High</v>
      </c>
    </row>
    <row r="472" spans="1:14" x14ac:dyDescent="0.3">
      <c r="A472" t="s">
        <v>481</v>
      </c>
      <c r="B472" s="2" t="s">
        <v>552</v>
      </c>
      <c r="C472" s="9" t="str">
        <f t="shared" si="14"/>
        <v>06-2023</v>
      </c>
      <c r="D472" t="s">
        <v>785</v>
      </c>
      <c r="E472" t="s">
        <v>787</v>
      </c>
      <c r="F472" t="s">
        <v>792</v>
      </c>
      <c r="G472" t="s">
        <v>1262</v>
      </c>
      <c r="H472">
        <v>1199.68</v>
      </c>
      <c r="I472">
        <v>3</v>
      </c>
      <c r="J472">
        <v>0.05</v>
      </c>
      <c r="K472">
        <v>1.85</v>
      </c>
      <c r="L472" t="s">
        <v>1289</v>
      </c>
      <c r="M472" s="6">
        <f t="shared" si="15"/>
        <v>1.5420778874366498E-3</v>
      </c>
      <c r="N472" s="6" t="str" cm="1">
        <f t="array" ref="N472">_xlfn.IFS('Data Cleaning &amp; Transf'!H472&lt;500,"LOW",AND('Data Cleaning &amp; Transf'!H472 &gt;500,'Data Cleaning &amp; Transf'!H472&lt;1000),"Medium",'Data Cleaning &amp; Transf'!H472&gt;1000,"High")</f>
        <v>High</v>
      </c>
    </row>
    <row r="473" spans="1:14" x14ac:dyDescent="0.3">
      <c r="A473" t="s">
        <v>482</v>
      </c>
      <c r="B473" s="2" t="s">
        <v>544</v>
      </c>
      <c r="C473" s="9" t="str">
        <f t="shared" si="14"/>
        <v>11-2023</v>
      </c>
      <c r="D473" t="s">
        <v>784</v>
      </c>
      <c r="E473" t="s">
        <v>787</v>
      </c>
      <c r="F473" t="s">
        <v>792</v>
      </c>
      <c r="G473" t="s">
        <v>1263</v>
      </c>
      <c r="H473">
        <v>1383.93</v>
      </c>
      <c r="I473">
        <v>1</v>
      </c>
      <c r="J473">
        <v>0.1</v>
      </c>
      <c r="K473">
        <v>197.65</v>
      </c>
      <c r="L473" t="s">
        <v>1291</v>
      </c>
      <c r="M473" s="6">
        <f t="shared" si="15"/>
        <v>0.14281791709118236</v>
      </c>
      <c r="N473" s="6" t="str" cm="1">
        <f t="array" ref="N473">_xlfn.IFS('Data Cleaning &amp; Transf'!H473&lt;500,"LOW",AND('Data Cleaning &amp; Transf'!H473 &gt;500,'Data Cleaning &amp; Transf'!H473&lt;1000),"Medium",'Data Cleaning &amp; Transf'!H473&gt;1000,"High")</f>
        <v>High</v>
      </c>
    </row>
    <row r="474" spans="1:14" x14ac:dyDescent="0.3">
      <c r="A474" t="s">
        <v>483</v>
      </c>
      <c r="B474" s="2" t="s">
        <v>775</v>
      </c>
      <c r="C474" s="9" t="str">
        <f t="shared" si="14"/>
        <v>08-2023</v>
      </c>
      <c r="D474" t="s">
        <v>786</v>
      </c>
      <c r="E474" t="s">
        <v>788</v>
      </c>
      <c r="F474" t="s">
        <v>791</v>
      </c>
      <c r="G474" t="s">
        <v>1264</v>
      </c>
      <c r="H474">
        <v>584.36</v>
      </c>
      <c r="I474">
        <v>8</v>
      </c>
      <c r="J474">
        <v>0.1</v>
      </c>
      <c r="K474">
        <v>17.88</v>
      </c>
      <c r="L474" t="s">
        <v>1291</v>
      </c>
      <c r="M474" s="6">
        <f t="shared" si="15"/>
        <v>3.0597576836196863E-2</v>
      </c>
      <c r="N474" s="6" t="str" cm="1">
        <f t="array" ref="N474">_xlfn.IFS('Data Cleaning &amp; Transf'!H474&lt;500,"LOW",AND('Data Cleaning &amp; Transf'!H474 &gt;500,'Data Cleaning &amp; Transf'!H474&lt;1000),"Medium",'Data Cleaning &amp; Transf'!H474&gt;1000,"High")</f>
        <v>Medium</v>
      </c>
    </row>
    <row r="475" spans="1:14" x14ac:dyDescent="0.3">
      <c r="A475" t="s">
        <v>484</v>
      </c>
      <c r="B475" s="2" t="s">
        <v>592</v>
      </c>
      <c r="C475" s="9" t="str">
        <f t="shared" si="14"/>
        <v>07-2023</v>
      </c>
      <c r="D475" t="s">
        <v>783</v>
      </c>
      <c r="E475" t="s">
        <v>789</v>
      </c>
      <c r="F475" t="s">
        <v>797</v>
      </c>
      <c r="G475" t="s">
        <v>1265</v>
      </c>
      <c r="H475">
        <v>1238.06</v>
      </c>
      <c r="I475">
        <v>1</v>
      </c>
      <c r="J475">
        <v>0.15</v>
      </c>
      <c r="K475">
        <v>-6.23</v>
      </c>
      <c r="L475" t="s">
        <v>1289</v>
      </c>
      <c r="M475" s="6">
        <f t="shared" si="15"/>
        <v>-5.0320662972715381E-3</v>
      </c>
      <c r="N475" s="6" t="str" cm="1">
        <f t="array" ref="N475">_xlfn.IFS('Data Cleaning &amp; Transf'!H475&lt;500,"LOW",AND('Data Cleaning &amp; Transf'!H475 &gt;500,'Data Cleaning &amp; Transf'!H475&lt;1000),"Medium",'Data Cleaning &amp; Transf'!H475&gt;1000,"High")</f>
        <v>High</v>
      </c>
    </row>
    <row r="476" spans="1:14" x14ac:dyDescent="0.3">
      <c r="A476" t="s">
        <v>485</v>
      </c>
      <c r="B476" s="2" t="s">
        <v>569</v>
      </c>
      <c r="C476" s="9" t="str">
        <f t="shared" si="14"/>
        <v>06-2023</v>
      </c>
      <c r="D476" t="s">
        <v>786</v>
      </c>
      <c r="E476" t="s">
        <v>789</v>
      </c>
      <c r="F476" t="s">
        <v>798</v>
      </c>
      <c r="G476" t="s">
        <v>1266</v>
      </c>
      <c r="H476">
        <v>1922.9</v>
      </c>
      <c r="I476">
        <v>2</v>
      </c>
      <c r="J476">
        <v>0.2</v>
      </c>
      <c r="K476">
        <v>-56.27</v>
      </c>
      <c r="L476" t="s">
        <v>1289</v>
      </c>
      <c r="M476" s="6">
        <f t="shared" si="15"/>
        <v>-2.9263092204482814E-2</v>
      </c>
      <c r="N476" s="6" t="str" cm="1">
        <f t="array" ref="N476">_xlfn.IFS('Data Cleaning &amp; Transf'!H476&lt;500,"LOW",AND('Data Cleaning &amp; Transf'!H476 &gt;500,'Data Cleaning &amp; Transf'!H476&lt;1000),"Medium",'Data Cleaning &amp; Transf'!H476&gt;1000,"High")</f>
        <v>High</v>
      </c>
    </row>
    <row r="477" spans="1:14" x14ac:dyDescent="0.3">
      <c r="A477" t="s">
        <v>486</v>
      </c>
      <c r="B477" s="2" t="s">
        <v>764</v>
      </c>
      <c r="C477" s="9" t="str">
        <f t="shared" si="14"/>
        <v>10-2023</v>
      </c>
      <c r="D477" t="s">
        <v>786</v>
      </c>
      <c r="E477" t="s">
        <v>787</v>
      </c>
      <c r="F477" t="s">
        <v>790</v>
      </c>
      <c r="G477" t="s">
        <v>1267</v>
      </c>
      <c r="H477">
        <v>475.44</v>
      </c>
      <c r="I477">
        <v>4</v>
      </c>
      <c r="J477">
        <v>0</v>
      </c>
      <c r="K477">
        <v>133.97</v>
      </c>
      <c r="L477" t="s">
        <v>1289</v>
      </c>
      <c r="M477" s="6">
        <f t="shared" si="15"/>
        <v>0.28178108699310112</v>
      </c>
      <c r="N477" s="6" t="str" cm="1">
        <f t="array" ref="N477">_xlfn.IFS('Data Cleaning &amp; Transf'!H477&lt;500,"LOW",AND('Data Cleaning &amp; Transf'!H477 &gt;500,'Data Cleaning &amp; Transf'!H477&lt;1000),"Medium",'Data Cleaning &amp; Transf'!H477&gt;1000,"High")</f>
        <v>LOW</v>
      </c>
    </row>
    <row r="478" spans="1:14" x14ac:dyDescent="0.3">
      <c r="A478" t="s">
        <v>487</v>
      </c>
      <c r="B478" s="2" t="s">
        <v>622</v>
      </c>
      <c r="C478" s="9" t="str">
        <f t="shared" si="14"/>
        <v>03-2023</v>
      </c>
      <c r="D478" t="s">
        <v>785</v>
      </c>
      <c r="E478" t="s">
        <v>787</v>
      </c>
      <c r="F478" t="s">
        <v>792</v>
      </c>
      <c r="G478" t="s">
        <v>1116</v>
      </c>
      <c r="H478">
        <v>1245.3499999999999</v>
      </c>
      <c r="I478">
        <v>7</v>
      </c>
      <c r="J478">
        <v>0.05</v>
      </c>
      <c r="K478">
        <v>154.5</v>
      </c>
      <c r="L478" t="s">
        <v>1289</v>
      </c>
      <c r="M478" s="6">
        <f t="shared" si="15"/>
        <v>0.12406150881278356</v>
      </c>
      <c r="N478" s="6" t="str" cm="1">
        <f t="array" ref="N478">_xlfn.IFS('Data Cleaning &amp; Transf'!H478&lt;500,"LOW",AND('Data Cleaning &amp; Transf'!H478 &gt;500,'Data Cleaning &amp; Transf'!H478&lt;1000),"Medium",'Data Cleaning &amp; Transf'!H478&gt;1000,"High")</f>
        <v>High</v>
      </c>
    </row>
    <row r="479" spans="1:14" x14ac:dyDescent="0.3">
      <c r="A479" t="s">
        <v>488</v>
      </c>
      <c r="B479" s="2" t="s">
        <v>584</v>
      </c>
      <c r="C479" s="9" t="str">
        <f t="shared" si="14"/>
        <v>02-2023</v>
      </c>
      <c r="D479" t="s">
        <v>785</v>
      </c>
      <c r="E479" t="s">
        <v>787</v>
      </c>
      <c r="F479" t="s">
        <v>800</v>
      </c>
      <c r="G479" t="s">
        <v>1268</v>
      </c>
      <c r="H479">
        <v>402.96</v>
      </c>
      <c r="I479">
        <v>10</v>
      </c>
      <c r="J479">
        <v>0.1</v>
      </c>
      <c r="K479">
        <v>21</v>
      </c>
      <c r="L479" t="s">
        <v>1290</v>
      </c>
      <c r="M479" s="6">
        <f t="shared" si="15"/>
        <v>5.2114353782013102E-2</v>
      </c>
      <c r="N479" s="6" t="str" cm="1">
        <f t="array" ref="N479">_xlfn.IFS('Data Cleaning &amp; Transf'!H479&lt;500,"LOW",AND('Data Cleaning &amp; Transf'!H479 &gt;500,'Data Cleaning &amp; Transf'!H479&lt;1000),"Medium",'Data Cleaning &amp; Transf'!H479&gt;1000,"High")</f>
        <v>LOW</v>
      </c>
    </row>
    <row r="480" spans="1:14" x14ac:dyDescent="0.3">
      <c r="A480" t="s">
        <v>489</v>
      </c>
      <c r="B480" s="2" t="s">
        <v>695</v>
      </c>
      <c r="C480" s="9" t="str">
        <f t="shared" si="14"/>
        <v>05-2023</v>
      </c>
      <c r="D480" t="s">
        <v>785</v>
      </c>
      <c r="E480" t="s">
        <v>788</v>
      </c>
      <c r="F480" t="s">
        <v>793</v>
      </c>
      <c r="G480" t="s">
        <v>1269</v>
      </c>
      <c r="H480">
        <v>1006.15</v>
      </c>
      <c r="I480">
        <v>7</v>
      </c>
      <c r="J480">
        <v>0.2</v>
      </c>
      <c r="K480">
        <v>-143.04</v>
      </c>
      <c r="L480" t="s">
        <v>1291</v>
      </c>
      <c r="M480" s="6">
        <f t="shared" si="15"/>
        <v>-0.14216568106147195</v>
      </c>
      <c r="N480" s="6" t="str" cm="1">
        <f t="array" ref="N480">_xlfn.IFS('Data Cleaning &amp; Transf'!H480&lt;500,"LOW",AND('Data Cleaning &amp; Transf'!H480 &gt;500,'Data Cleaning &amp; Transf'!H480&lt;1000),"Medium",'Data Cleaning &amp; Transf'!H480&gt;1000,"High")</f>
        <v>High</v>
      </c>
    </row>
    <row r="481" spans="1:14" x14ac:dyDescent="0.3">
      <c r="A481" t="s">
        <v>490</v>
      </c>
      <c r="B481" s="2" t="s">
        <v>776</v>
      </c>
      <c r="C481" s="9" t="str">
        <f t="shared" si="14"/>
        <v>09-2023</v>
      </c>
      <c r="D481" t="s">
        <v>784</v>
      </c>
      <c r="E481" t="s">
        <v>787</v>
      </c>
      <c r="F481" t="s">
        <v>801</v>
      </c>
      <c r="G481" t="s">
        <v>1270</v>
      </c>
      <c r="H481">
        <v>1217.97</v>
      </c>
      <c r="I481">
        <v>3</v>
      </c>
      <c r="J481">
        <v>0.2</v>
      </c>
      <c r="K481">
        <v>-120.05</v>
      </c>
      <c r="L481" t="s">
        <v>1289</v>
      </c>
      <c r="M481" s="6">
        <f t="shared" si="15"/>
        <v>-9.856564611607839E-2</v>
      </c>
      <c r="N481" s="6" t="str" cm="1">
        <f t="array" ref="N481">_xlfn.IFS('Data Cleaning &amp; Transf'!H481&lt;500,"LOW",AND('Data Cleaning &amp; Transf'!H481 &gt;500,'Data Cleaning &amp; Transf'!H481&lt;1000),"Medium",'Data Cleaning &amp; Transf'!H481&gt;1000,"High")</f>
        <v>High</v>
      </c>
    </row>
    <row r="482" spans="1:14" x14ac:dyDescent="0.3">
      <c r="A482" t="s">
        <v>491</v>
      </c>
      <c r="B482" s="2" t="s">
        <v>777</v>
      </c>
      <c r="C482" s="9" t="str">
        <f t="shared" si="14"/>
        <v>03-2023</v>
      </c>
      <c r="D482" t="s">
        <v>786</v>
      </c>
      <c r="E482" t="s">
        <v>789</v>
      </c>
      <c r="F482" t="s">
        <v>797</v>
      </c>
      <c r="G482" t="s">
        <v>1271</v>
      </c>
      <c r="H482">
        <v>495.96</v>
      </c>
      <c r="I482">
        <v>8</v>
      </c>
      <c r="J482">
        <v>0.2</v>
      </c>
      <c r="K482">
        <v>34.409999999999997</v>
      </c>
      <c r="L482" t="s">
        <v>1290</v>
      </c>
      <c r="M482" s="6">
        <f t="shared" si="15"/>
        <v>6.9380595209291074E-2</v>
      </c>
      <c r="N482" s="6" t="str" cm="1">
        <f t="array" ref="N482">_xlfn.IFS('Data Cleaning &amp; Transf'!H482&lt;500,"LOW",AND('Data Cleaning &amp; Transf'!H482 &gt;500,'Data Cleaning &amp; Transf'!H482&lt;1000),"Medium",'Data Cleaning &amp; Transf'!H482&gt;1000,"High")</f>
        <v>LOW</v>
      </c>
    </row>
    <row r="483" spans="1:14" x14ac:dyDescent="0.3">
      <c r="A483" t="s">
        <v>492</v>
      </c>
      <c r="B483" s="2" t="s">
        <v>778</v>
      </c>
      <c r="C483" s="9" t="str">
        <f t="shared" si="14"/>
        <v>03-2023</v>
      </c>
      <c r="D483" t="s">
        <v>785</v>
      </c>
      <c r="E483" t="s">
        <v>788</v>
      </c>
      <c r="F483" t="s">
        <v>791</v>
      </c>
      <c r="G483" t="s">
        <v>1272</v>
      </c>
      <c r="H483">
        <v>66.8</v>
      </c>
      <c r="I483">
        <v>6</v>
      </c>
      <c r="J483">
        <v>0.15</v>
      </c>
      <c r="K483">
        <v>6.36</v>
      </c>
      <c r="L483" t="s">
        <v>1291</v>
      </c>
      <c r="M483" s="6">
        <f t="shared" si="15"/>
        <v>9.5209580838323357E-2</v>
      </c>
      <c r="N483" s="6" t="str" cm="1">
        <f t="array" ref="N483">_xlfn.IFS('Data Cleaning &amp; Transf'!H483&lt;500,"LOW",AND('Data Cleaning &amp; Transf'!H483 &gt;500,'Data Cleaning &amp; Transf'!H483&lt;1000),"Medium",'Data Cleaning &amp; Transf'!H483&gt;1000,"High")</f>
        <v>LOW</v>
      </c>
    </row>
    <row r="484" spans="1:14" x14ac:dyDescent="0.3">
      <c r="A484" t="s">
        <v>493</v>
      </c>
      <c r="B484" s="2" t="s">
        <v>717</v>
      </c>
      <c r="C484" s="9" t="str">
        <f t="shared" si="14"/>
        <v>07-2023</v>
      </c>
      <c r="D484" t="s">
        <v>783</v>
      </c>
      <c r="E484" t="s">
        <v>788</v>
      </c>
      <c r="F484" t="s">
        <v>795</v>
      </c>
      <c r="G484" t="s">
        <v>1014</v>
      </c>
      <c r="H484">
        <v>1196.71</v>
      </c>
      <c r="I484">
        <v>7</v>
      </c>
      <c r="J484">
        <v>0.05</v>
      </c>
      <c r="K484">
        <v>203.41</v>
      </c>
      <c r="L484" t="s">
        <v>1291</v>
      </c>
      <c r="M484" s="6">
        <f t="shared" si="15"/>
        <v>0.1699743463328626</v>
      </c>
      <c r="N484" s="6" t="str" cm="1">
        <f t="array" ref="N484">_xlfn.IFS('Data Cleaning &amp; Transf'!H484&lt;500,"LOW",AND('Data Cleaning &amp; Transf'!H484 &gt;500,'Data Cleaning &amp; Transf'!H484&lt;1000),"Medium",'Data Cleaning &amp; Transf'!H484&gt;1000,"High")</f>
        <v>High</v>
      </c>
    </row>
    <row r="485" spans="1:14" x14ac:dyDescent="0.3">
      <c r="A485" t="s">
        <v>494</v>
      </c>
      <c r="B485" s="2" t="s">
        <v>600</v>
      </c>
      <c r="C485" s="9" t="str">
        <f t="shared" si="14"/>
        <v>09-2023</v>
      </c>
      <c r="D485" t="s">
        <v>783</v>
      </c>
      <c r="E485" t="s">
        <v>788</v>
      </c>
      <c r="F485" t="s">
        <v>796</v>
      </c>
      <c r="G485" t="s">
        <v>1273</v>
      </c>
      <c r="H485">
        <v>1036.6099999999999</v>
      </c>
      <c r="I485">
        <v>1</v>
      </c>
      <c r="J485">
        <v>0.2</v>
      </c>
      <c r="K485">
        <v>58.99</v>
      </c>
      <c r="L485" t="s">
        <v>1289</v>
      </c>
      <c r="M485" s="6">
        <f t="shared" si="15"/>
        <v>5.6906647630256324E-2</v>
      </c>
      <c r="N485" s="6" t="str" cm="1">
        <f t="array" ref="N485">_xlfn.IFS('Data Cleaning &amp; Transf'!H485&lt;500,"LOW",AND('Data Cleaning &amp; Transf'!H485 &gt;500,'Data Cleaning &amp; Transf'!H485&lt;1000),"Medium",'Data Cleaning &amp; Transf'!H485&gt;1000,"High")</f>
        <v>High</v>
      </c>
    </row>
    <row r="486" spans="1:14" x14ac:dyDescent="0.3">
      <c r="A486" t="s">
        <v>495</v>
      </c>
      <c r="B486" s="2" t="s">
        <v>661</v>
      </c>
      <c r="C486" s="9" t="str">
        <f t="shared" si="14"/>
        <v>11-2023</v>
      </c>
      <c r="D486" t="s">
        <v>783</v>
      </c>
      <c r="E486" t="s">
        <v>789</v>
      </c>
      <c r="F486" t="s">
        <v>798</v>
      </c>
      <c r="G486" t="s">
        <v>1274</v>
      </c>
      <c r="H486">
        <v>1086.3399999999999</v>
      </c>
      <c r="I486">
        <v>5</v>
      </c>
      <c r="J486">
        <v>0.1</v>
      </c>
      <c r="K486">
        <v>150.29</v>
      </c>
      <c r="L486" t="s">
        <v>1289</v>
      </c>
      <c r="M486" s="6">
        <f t="shared" si="15"/>
        <v>0.13834526943682457</v>
      </c>
      <c r="N486" s="6" t="str" cm="1">
        <f t="array" ref="N486">_xlfn.IFS('Data Cleaning &amp; Transf'!H486&lt;500,"LOW",AND('Data Cleaning &amp; Transf'!H486 &gt;500,'Data Cleaning &amp; Transf'!H486&lt;1000),"Medium",'Data Cleaning &amp; Transf'!H486&gt;1000,"High")</f>
        <v>High</v>
      </c>
    </row>
    <row r="487" spans="1:14" x14ac:dyDescent="0.3">
      <c r="A487" t="s">
        <v>496</v>
      </c>
      <c r="B487" s="2" t="s">
        <v>779</v>
      </c>
      <c r="C487" s="9" t="str">
        <f t="shared" si="14"/>
        <v>04-2023</v>
      </c>
      <c r="D487" t="s">
        <v>784</v>
      </c>
      <c r="E487" t="s">
        <v>787</v>
      </c>
      <c r="F487" t="s">
        <v>800</v>
      </c>
      <c r="G487" t="s">
        <v>1275</v>
      </c>
      <c r="H487">
        <v>640.57000000000005</v>
      </c>
      <c r="I487">
        <v>4</v>
      </c>
      <c r="J487">
        <v>0.15</v>
      </c>
      <c r="K487">
        <v>41.18</v>
      </c>
      <c r="L487" t="s">
        <v>1289</v>
      </c>
      <c r="M487" s="6">
        <f t="shared" si="15"/>
        <v>6.4286494840532643E-2</v>
      </c>
      <c r="N487" s="6" t="str" cm="1">
        <f t="array" ref="N487">_xlfn.IFS('Data Cleaning &amp; Transf'!H487&lt;500,"LOW",AND('Data Cleaning &amp; Transf'!H487 &gt;500,'Data Cleaning &amp; Transf'!H487&lt;1000),"Medium",'Data Cleaning &amp; Transf'!H487&gt;1000,"High")</f>
        <v>Medium</v>
      </c>
    </row>
    <row r="488" spans="1:14" x14ac:dyDescent="0.3">
      <c r="A488" t="s">
        <v>497</v>
      </c>
      <c r="B488" s="2" t="s">
        <v>762</v>
      </c>
      <c r="C488" s="9" t="str">
        <f t="shared" si="14"/>
        <v>12-2023</v>
      </c>
      <c r="D488" t="s">
        <v>784</v>
      </c>
      <c r="E488" t="s">
        <v>789</v>
      </c>
      <c r="F488" t="s">
        <v>798</v>
      </c>
      <c r="G488" t="s">
        <v>1276</v>
      </c>
      <c r="H488">
        <v>1996</v>
      </c>
      <c r="I488">
        <v>10</v>
      </c>
      <c r="J488">
        <v>0.1</v>
      </c>
      <c r="K488">
        <v>42.11</v>
      </c>
      <c r="L488" t="s">
        <v>1289</v>
      </c>
      <c r="M488" s="6">
        <f t="shared" si="15"/>
        <v>2.1097194388777555E-2</v>
      </c>
      <c r="N488" s="6" t="str" cm="1">
        <f t="array" ref="N488">_xlfn.IFS('Data Cleaning &amp; Transf'!H488&lt;500,"LOW",AND('Data Cleaning &amp; Transf'!H488 &gt;500,'Data Cleaning &amp; Transf'!H488&lt;1000),"Medium",'Data Cleaning &amp; Transf'!H488&gt;1000,"High")</f>
        <v>High</v>
      </c>
    </row>
    <row r="489" spans="1:14" x14ac:dyDescent="0.3">
      <c r="A489" t="s">
        <v>498</v>
      </c>
      <c r="B489" s="2" t="s">
        <v>519</v>
      </c>
      <c r="C489" s="9" t="str">
        <f t="shared" si="14"/>
        <v>05-2023</v>
      </c>
      <c r="D489" t="s">
        <v>784</v>
      </c>
      <c r="E489" t="s">
        <v>788</v>
      </c>
      <c r="F489" t="s">
        <v>795</v>
      </c>
      <c r="G489" t="s">
        <v>1277</v>
      </c>
      <c r="H489">
        <v>529.95000000000005</v>
      </c>
      <c r="I489">
        <v>7</v>
      </c>
      <c r="J489">
        <v>0.15</v>
      </c>
      <c r="K489">
        <v>48.62</v>
      </c>
      <c r="L489" t="s">
        <v>1290</v>
      </c>
      <c r="M489" s="6">
        <f t="shared" si="15"/>
        <v>9.1744504198509283E-2</v>
      </c>
      <c r="N489" s="6" t="str" cm="1">
        <f t="array" ref="N489">_xlfn.IFS('Data Cleaning &amp; Transf'!H489&lt;500,"LOW",AND('Data Cleaning &amp; Transf'!H489 &gt;500,'Data Cleaning &amp; Transf'!H489&lt;1000),"Medium",'Data Cleaning &amp; Transf'!H489&gt;1000,"High")</f>
        <v>Medium</v>
      </c>
    </row>
    <row r="490" spans="1:14" x14ac:dyDescent="0.3">
      <c r="A490" t="s">
        <v>499</v>
      </c>
      <c r="B490" s="2" t="s">
        <v>683</v>
      </c>
      <c r="C490" s="9" t="str">
        <f t="shared" si="14"/>
        <v>04-2023</v>
      </c>
      <c r="D490" t="s">
        <v>783</v>
      </c>
      <c r="E490" t="s">
        <v>789</v>
      </c>
      <c r="F490" t="s">
        <v>797</v>
      </c>
      <c r="G490" t="s">
        <v>1271</v>
      </c>
      <c r="H490">
        <v>536.98</v>
      </c>
      <c r="I490">
        <v>6</v>
      </c>
      <c r="J490">
        <v>0.15</v>
      </c>
      <c r="K490">
        <v>7.31</v>
      </c>
      <c r="L490" t="s">
        <v>1289</v>
      </c>
      <c r="M490" s="6">
        <f t="shared" si="15"/>
        <v>1.3613169950463704E-2</v>
      </c>
      <c r="N490" s="6" t="str" cm="1">
        <f t="array" ref="N490">_xlfn.IFS('Data Cleaning &amp; Transf'!H490&lt;500,"LOW",AND('Data Cleaning &amp; Transf'!H490 &gt;500,'Data Cleaning &amp; Transf'!H490&lt;1000),"Medium",'Data Cleaning &amp; Transf'!H490&gt;1000,"High")</f>
        <v>Medium</v>
      </c>
    </row>
    <row r="491" spans="1:14" x14ac:dyDescent="0.3">
      <c r="A491" t="s">
        <v>500</v>
      </c>
      <c r="B491" s="2" t="s">
        <v>606</v>
      </c>
      <c r="C491" s="9" t="str">
        <f t="shared" si="14"/>
        <v>10-2023</v>
      </c>
      <c r="D491" t="s">
        <v>786</v>
      </c>
      <c r="E491" t="s">
        <v>787</v>
      </c>
      <c r="F491" t="s">
        <v>792</v>
      </c>
      <c r="G491" t="s">
        <v>1278</v>
      </c>
      <c r="H491">
        <v>1225.07</v>
      </c>
      <c r="I491">
        <v>4</v>
      </c>
      <c r="J491">
        <v>0</v>
      </c>
      <c r="K491">
        <v>68.69</v>
      </c>
      <c r="L491" t="s">
        <v>1291</v>
      </c>
      <c r="M491" s="6">
        <f t="shared" si="15"/>
        <v>5.6070265372590952E-2</v>
      </c>
      <c r="N491" s="6" t="str" cm="1">
        <f t="array" ref="N491">_xlfn.IFS('Data Cleaning &amp; Transf'!H491&lt;500,"LOW",AND('Data Cleaning &amp; Transf'!H491 &gt;500,'Data Cleaning &amp; Transf'!H491&lt;1000),"Medium",'Data Cleaning &amp; Transf'!H491&gt;1000,"High")</f>
        <v>High</v>
      </c>
    </row>
    <row r="492" spans="1:14" x14ac:dyDescent="0.3">
      <c r="A492" t="s">
        <v>501</v>
      </c>
      <c r="B492" s="2" t="s">
        <v>512</v>
      </c>
      <c r="C492" s="9" t="str">
        <f t="shared" si="14"/>
        <v>04-2023</v>
      </c>
      <c r="D492" t="s">
        <v>785</v>
      </c>
      <c r="E492" t="s">
        <v>787</v>
      </c>
      <c r="F492" t="s">
        <v>790</v>
      </c>
      <c r="G492" t="s">
        <v>1279</v>
      </c>
      <c r="H492">
        <v>1531.2</v>
      </c>
      <c r="I492">
        <v>5</v>
      </c>
      <c r="J492">
        <v>0</v>
      </c>
      <c r="K492">
        <v>276.22000000000003</v>
      </c>
      <c r="L492" t="s">
        <v>1289</v>
      </c>
      <c r="M492" s="6">
        <f t="shared" si="15"/>
        <v>0.18039446185997912</v>
      </c>
      <c r="N492" s="6" t="str" cm="1">
        <f t="array" ref="N492">_xlfn.IFS('Data Cleaning &amp; Transf'!H492&lt;500,"LOW",AND('Data Cleaning &amp; Transf'!H492 &gt;500,'Data Cleaning &amp; Transf'!H492&lt;1000),"Medium",'Data Cleaning &amp; Transf'!H492&gt;1000,"High")</f>
        <v>High</v>
      </c>
    </row>
    <row r="493" spans="1:14" x14ac:dyDescent="0.3">
      <c r="A493" t="s">
        <v>502</v>
      </c>
      <c r="B493" s="2" t="s">
        <v>780</v>
      </c>
      <c r="C493" s="9" t="str">
        <f t="shared" si="14"/>
        <v>04-2023</v>
      </c>
      <c r="D493" t="s">
        <v>786</v>
      </c>
      <c r="E493" t="s">
        <v>788</v>
      </c>
      <c r="F493" t="s">
        <v>793</v>
      </c>
      <c r="G493" t="s">
        <v>1280</v>
      </c>
      <c r="H493">
        <v>499.1</v>
      </c>
      <c r="I493">
        <v>1</v>
      </c>
      <c r="J493">
        <v>0</v>
      </c>
      <c r="K493">
        <v>54.55</v>
      </c>
      <c r="L493" t="s">
        <v>1289</v>
      </c>
      <c r="M493" s="6">
        <f t="shared" si="15"/>
        <v>0.10929673412141855</v>
      </c>
      <c r="N493" s="6" t="str" cm="1">
        <f t="array" ref="N493">_xlfn.IFS('Data Cleaning &amp; Transf'!H493&lt;500,"LOW",AND('Data Cleaning &amp; Transf'!H493 &gt;500,'Data Cleaning &amp; Transf'!H493&lt;1000),"Medium",'Data Cleaning &amp; Transf'!H493&gt;1000,"High")</f>
        <v>LOW</v>
      </c>
    </row>
    <row r="494" spans="1:14" x14ac:dyDescent="0.3">
      <c r="A494" t="s">
        <v>503</v>
      </c>
      <c r="B494" s="2" t="s">
        <v>520</v>
      </c>
      <c r="C494" s="9" t="str">
        <f t="shared" si="14"/>
        <v>08-2023</v>
      </c>
      <c r="D494" t="s">
        <v>784</v>
      </c>
      <c r="E494" t="s">
        <v>788</v>
      </c>
      <c r="F494" t="s">
        <v>793</v>
      </c>
      <c r="G494" t="s">
        <v>1281</v>
      </c>
      <c r="H494">
        <v>361.92</v>
      </c>
      <c r="I494">
        <v>3</v>
      </c>
      <c r="J494">
        <v>0</v>
      </c>
      <c r="K494">
        <v>85.65</v>
      </c>
      <c r="L494" t="s">
        <v>1291</v>
      </c>
      <c r="M494" s="6">
        <f t="shared" si="15"/>
        <v>0.23665450928381965</v>
      </c>
      <c r="N494" s="6" t="str" cm="1">
        <f t="array" ref="N494">_xlfn.IFS('Data Cleaning &amp; Transf'!H494&lt;500,"LOW",AND('Data Cleaning &amp; Transf'!H494 &gt;500,'Data Cleaning &amp; Transf'!H494&lt;1000),"Medium",'Data Cleaning &amp; Transf'!H494&gt;1000,"High")</f>
        <v>LOW</v>
      </c>
    </row>
    <row r="495" spans="1:14" x14ac:dyDescent="0.3">
      <c r="A495" t="s">
        <v>504</v>
      </c>
      <c r="B495" s="2" t="s">
        <v>519</v>
      </c>
      <c r="C495" s="9" t="str">
        <f t="shared" si="14"/>
        <v>05-2023</v>
      </c>
      <c r="D495" t="s">
        <v>784</v>
      </c>
      <c r="E495" t="s">
        <v>789</v>
      </c>
      <c r="F495" t="s">
        <v>798</v>
      </c>
      <c r="G495" t="s">
        <v>1282</v>
      </c>
      <c r="H495">
        <v>398.19</v>
      </c>
      <c r="I495">
        <v>1</v>
      </c>
      <c r="J495">
        <v>0.05</v>
      </c>
      <c r="K495">
        <v>92.83</v>
      </c>
      <c r="L495" t="s">
        <v>1290</v>
      </c>
      <c r="M495" s="6">
        <f t="shared" si="15"/>
        <v>0.23312991285567192</v>
      </c>
      <c r="N495" s="6" t="str" cm="1">
        <f t="array" ref="N495">_xlfn.IFS('Data Cleaning &amp; Transf'!H495&lt;500,"LOW",AND('Data Cleaning &amp; Transf'!H495 &gt;500,'Data Cleaning &amp; Transf'!H495&lt;1000),"Medium",'Data Cleaning &amp; Transf'!H495&gt;1000,"High")</f>
        <v>LOW</v>
      </c>
    </row>
    <row r="496" spans="1:14" x14ac:dyDescent="0.3">
      <c r="A496" t="s">
        <v>505</v>
      </c>
      <c r="B496" s="2" t="s">
        <v>545</v>
      </c>
      <c r="C496" s="9" t="str">
        <f t="shared" si="14"/>
        <v>03-2023</v>
      </c>
      <c r="D496" t="s">
        <v>785</v>
      </c>
      <c r="E496" t="s">
        <v>789</v>
      </c>
      <c r="F496" t="s">
        <v>794</v>
      </c>
      <c r="G496" t="s">
        <v>1283</v>
      </c>
      <c r="H496">
        <v>1223.58</v>
      </c>
      <c r="I496">
        <v>1</v>
      </c>
      <c r="J496">
        <v>0.05</v>
      </c>
      <c r="K496">
        <v>86.93</v>
      </c>
      <c r="L496" t="s">
        <v>1291</v>
      </c>
      <c r="M496" s="6">
        <f t="shared" si="15"/>
        <v>7.1045620229163609E-2</v>
      </c>
      <c r="N496" s="6" t="str" cm="1">
        <f t="array" ref="N496">_xlfn.IFS('Data Cleaning &amp; Transf'!H496&lt;500,"LOW",AND('Data Cleaning &amp; Transf'!H496 &gt;500,'Data Cleaning &amp; Transf'!H496&lt;1000),"Medium",'Data Cleaning &amp; Transf'!H496&gt;1000,"High")</f>
        <v>High</v>
      </c>
    </row>
    <row r="497" spans="1:14" x14ac:dyDescent="0.3">
      <c r="A497" t="s">
        <v>506</v>
      </c>
      <c r="B497" s="2" t="s">
        <v>602</v>
      </c>
      <c r="C497" s="9" t="str">
        <f t="shared" si="14"/>
        <v>02-2023</v>
      </c>
      <c r="D497" t="s">
        <v>785</v>
      </c>
      <c r="E497" t="s">
        <v>788</v>
      </c>
      <c r="F497" t="s">
        <v>791</v>
      </c>
      <c r="G497" t="s">
        <v>1284</v>
      </c>
      <c r="H497">
        <v>900.25</v>
      </c>
      <c r="I497">
        <v>2</v>
      </c>
      <c r="J497">
        <v>0.1</v>
      </c>
      <c r="K497">
        <v>-7.43</v>
      </c>
      <c r="L497" t="s">
        <v>1291</v>
      </c>
      <c r="M497" s="6">
        <f t="shared" si="15"/>
        <v>-8.2532629825048595E-3</v>
      </c>
      <c r="N497" s="6" t="str" cm="1">
        <f t="array" ref="N497">_xlfn.IFS('Data Cleaning &amp; Transf'!H497&lt;500,"LOW",AND('Data Cleaning &amp; Transf'!H497 &gt;500,'Data Cleaning &amp; Transf'!H497&lt;1000),"Medium",'Data Cleaning &amp; Transf'!H497&gt;1000,"High")</f>
        <v>Medium</v>
      </c>
    </row>
    <row r="498" spans="1:14" x14ac:dyDescent="0.3">
      <c r="A498" t="s">
        <v>507</v>
      </c>
      <c r="B498" s="2" t="s">
        <v>781</v>
      </c>
      <c r="C498" s="9" t="str">
        <f t="shared" si="14"/>
        <v>11-2023</v>
      </c>
      <c r="D498" t="s">
        <v>783</v>
      </c>
      <c r="E498" t="s">
        <v>789</v>
      </c>
      <c r="F498" t="s">
        <v>794</v>
      </c>
      <c r="G498" t="s">
        <v>1285</v>
      </c>
      <c r="H498">
        <v>1152.19</v>
      </c>
      <c r="I498">
        <v>5</v>
      </c>
      <c r="J498">
        <v>0.15</v>
      </c>
      <c r="K498">
        <v>65.78</v>
      </c>
      <c r="L498" t="s">
        <v>1291</v>
      </c>
      <c r="M498" s="6">
        <f t="shared" si="15"/>
        <v>5.7091278348189098E-2</v>
      </c>
      <c r="N498" s="6" t="str" cm="1">
        <f t="array" ref="N498">_xlfn.IFS('Data Cleaning &amp; Transf'!H498&lt;500,"LOW",AND('Data Cleaning &amp; Transf'!H498 &gt;500,'Data Cleaning &amp; Transf'!H498&lt;1000),"Medium",'Data Cleaning &amp; Transf'!H498&gt;1000,"High")</f>
        <v>High</v>
      </c>
    </row>
    <row r="499" spans="1:14" x14ac:dyDescent="0.3">
      <c r="A499" t="s">
        <v>508</v>
      </c>
      <c r="B499" s="2" t="s">
        <v>782</v>
      </c>
      <c r="C499" s="9" t="str">
        <f t="shared" si="14"/>
        <v>11-2023</v>
      </c>
      <c r="D499" t="s">
        <v>785</v>
      </c>
      <c r="E499" t="s">
        <v>787</v>
      </c>
      <c r="F499" t="s">
        <v>790</v>
      </c>
      <c r="G499" t="s">
        <v>1286</v>
      </c>
      <c r="H499">
        <v>329.15</v>
      </c>
      <c r="I499">
        <v>5</v>
      </c>
      <c r="J499">
        <v>0</v>
      </c>
      <c r="K499">
        <v>85.15</v>
      </c>
      <c r="L499" t="s">
        <v>1291</v>
      </c>
      <c r="M499" s="6">
        <f t="shared" si="15"/>
        <v>0.25869664286799338</v>
      </c>
      <c r="N499" s="6" t="str" cm="1">
        <f t="array" ref="N499">_xlfn.IFS('Data Cleaning &amp; Transf'!H499&lt;500,"LOW",AND('Data Cleaning &amp; Transf'!H499 &gt;500,'Data Cleaning &amp; Transf'!H499&lt;1000),"Medium",'Data Cleaning &amp; Transf'!H499&gt;1000,"High")</f>
        <v>LOW</v>
      </c>
    </row>
    <row r="500" spans="1:14" x14ac:dyDescent="0.3">
      <c r="A500" t="s">
        <v>509</v>
      </c>
      <c r="B500" s="2" t="s">
        <v>520</v>
      </c>
      <c r="C500" s="9" t="str">
        <f t="shared" si="14"/>
        <v>08-2023</v>
      </c>
      <c r="D500" t="s">
        <v>784</v>
      </c>
      <c r="E500" t="s">
        <v>787</v>
      </c>
      <c r="F500" t="s">
        <v>800</v>
      </c>
      <c r="G500" t="s">
        <v>1287</v>
      </c>
      <c r="H500">
        <v>1306.75</v>
      </c>
      <c r="I500">
        <v>8</v>
      </c>
      <c r="J500">
        <v>0.1</v>
      </c>
      <c r="K500">
        <v>47.52</v>
      </c>
      <c r="L500" t="s">
        <v>1291</v>
      </c>
      <c r="M500" s="6">
        <f t="shared" si="15"/>
        <v>3.6365027740577774E-2</v>
      </c>
      <c r="N500" s="6" t="str" cm="1">
        <f t="array" ref="N500">_xlfn.IFS('Data Cleaning &amp; Transf'!H500&lt;500,"LOW",AND('Data Cleaning &amp; Transf'!H500 &gt;500,'Data Cleaning &amp; Transf'!H500&lt;1000),"Medium",'Data Cleaning &amp; Transf'!H500&gt;1000,"High")</f>
        <v>High</v>
      </c>
    </row>
    <row r="501" spans="1:14" x14ac:dyDescent="0.3">
      <c r="A501" t="s">
        <v>510</v>
      </c>
      <c r="B501" s="2" t="s">
        <v>755</v>
      </c>
      <c r="C501" s="9" t="str">
        <f t="shared" si="14"/>
        <v>12-2023</v>
      </c>
      <c r="D501" t="s">
        <v>783</v>
      </c>
      <c r="E501" t="s">
        <v>788</v>
      </c>
      <c r="F501" t="s">
        <v>796</v>
      </c>
      <c r="G501" t="s">
        <v>1288</v>
      </c>
      <c r="H501">
        <v>1153.7</v>
      </c>
      <c r="I501">
        <v>9</v>
      </c>
      <c r="J501">
        <v>0.05</v>
      </c>
      <c r="K501">
        <v>108.22</v>
      </c>
      <c r="L501" t="s">
        <v>1289</v>
      </c>
      <c r="M501" s="6">
        <f t="shared" si="15"/>
        <v>9.3802548322787546E-2</v>
      </c>
      <c r="N501" s="6" t="str" cm="1">
        <f t="array" ref="N501">_xlfn.IFS('Data Cleaning &amp; Transf'!H501&lt;500,"LOW",AND('Data Cleaning &amp; Transf'!H501 &gt;500,'Data Cleaning &amp; Transf'!H501&lt;1000),"Medium",'Data Cleaning &amp; Transf'!H501&gt;1000,"High")</f>
        <v>High</v>
      </c>
    </row>
  </sheetData>
  <conditionalFormatting sqref="N1 A1:M501">
    <cfRule type="containsBlanks" dxfId="4" priority="1">
      <formula>LEN(TRIM(A1))=0</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E4E3F-854B-4520-B57A-C4DC66B96589}">
  <dimension ref="A1:L530"/>
  <sheetViews>
    <sheetView showGridLines="0" tabSelected="1" topLeftCell="B4" workbookViewId="0">
      <selection activeCell="D68" sqref="D68"/>
    </sheetView>
  </sheetViews>
  <sheetFormatPr defaultRowHeight="14.4" x14ac:dyDescent="0.3"/>
  <cols>
    <col min="1" max="1" width="17.44140625" bestFit="1" customWidth="1"/>
    <col min="2" max="2" width="14.88671875" bestFit="1" customWidth="1"/>
    <col min="3" max="3" width="16" bestFit="1" customWidth="1"/>
    <col min="4" max="4" width="14.88671875" bestFit="1" customWidth="1"/>
    <col min="5" max="5" width="11.6640625" bestFit="1" customWidth="1"/>
    <col min="7" max="7" width="22.33203125" customWidth="1"/>
    <col min="8" max="9" width="17.33203125" bestFit="1" customWidth="1"/>
    <col min="10" max="11" width="18.44140625" bestFit="1" customWidth="1"/>
    <col min="12" max="12" width="24.6640625" customWidth="1"/>
  </cols>
  <sheetData>
    <row r="1" spans="1:10" x14ac:dyDescent="0.3">
      <c r="A1" s="11" t="s">
        <v>2</v>
      </c>
      <c r="B1" s="11" t="s">
        <v>3</v>
      </c>
      <c r="C1" s="16" t="s">
        <v>10</v>
      </c>
      <c r="D1" s="16" t="s">
        <v>1332</v>
      </c>
      <c r="E1" s="16" t="s">
        <v>1333</v>
      </c>
    </row>
    <row r="2" spans="1:10" x14ac:dyDescent="0.3">
      <c r="A2" t="s">
        <v>783</v>
      </c>
      <c r="B2" t="s">
        <v>789</v>
      </c>
      <c r="C2" t="s">
        <v>1290</v>
      </c>
      <c r="D2">
        <v>46</v>
      </c>
      <c r="E2">
        <v>13536.97</v>
      </c>
      <c r="G2" s="47" t="s">
        <v>1334</v>
      </c>
      <c r="H2" s="47"/>
      <c r="I2" s="47"/>
      <c r="J2" s="47"/>
    </row>
    <row r="3" spans="1:10" x14ac:dyDescent="0.3">
      <c r="A3" t="s">
        <v>783</v>
      </c>
      <c r="B3" t="s">
        <v>789</v>
      </c>
      <c r="C3" t="s">
        <v>1291</v>
      </c>
      <c r="D3">
        <v>42</v>
      </c>
      <c r="E3">
        <v>11934.68</v>
      </c>
      <c r="G3" t="str" cm="1">
        <f t="array" ref="G3:J3">INDEX(Data!G2:G501,MATCH(LARGE(SUMIF(Data!G2:G501,Data!G2:G501,Data!L2:L501),{1,2,3,4}),SUMIF(Data!G2:G501,Data!G2:G501,Data!L2:L501),0))</f>
        <v>Monitor Model-975</v>
      </c>
      <c r="H3" t="str">
        <v>Monitor Model-975</v>
      </c>
      <c r="I3" t="str">
        <v>Monitor Model-975</v>
      </c>
      <c r="J3" t="str">
        <v>Bookcase Model-618</v>
      </c>
    </row>
    <row r="4" spans="1:10" x14ac:dyDescent="0.3">
      <c r="A4" t="s">
        <v>783</v>
      </c>
      <c r="B4" t="s">
        <v>789</v>
      </c>
      <c r="C4" t="s">
        <v>1289</v>
      </c>
      <c r="D4">
        <v>79</v>
      </c>
      <c r="E4">
        <v>13351.33</v>
      </c>
    </row>
    <row r="5" spans="1:10" x14ac:dyDescent="0.3">
      <c r="A5" t="s">
        <v>783</v>
      </c>
      <c r="B5" t="s">
        <v>787</v>
      </c>
      <c r="C5" t="s">
        <v>1290</v>
      </c>
      <c r="D5">
        <v>62</v>
      </c>
      <c r="E5">
        <v>14638.48</v>
      </c>
      <c r="G5" s="10" t="s">
        <v>1335</v>
      </c>
    </row>
    <row r="6" spans="1:10" x14ac:dyDescent="0.3">
      <c r="A6" t="s">
        <v>783</v>
      </c>
      <c r="B6" t="s">
        <v>787</v>
      </c>
      <c r="C6" t="s">
        <v>1291</v>
      </c>
      <c r="D6">
        <v>73</v>
      </c>
      <c r="E6">
        <v>12285.239999999998</v>
      </c>
      <c r="G6" t="str" cm="1">
        <f t="array" ref="G6:G10">INDEX(Data!G2:G501, MATCH(SMALL(SUMIF(Data!G2:G501, Data!G2:G501, Data!L2:L501), ROW(1:5)), SUMIF(Data!G2:G501, Data!G2:G501, Data!L2:L501), 0))</f>
        <v>Printer Model-425</v>
      </c>
    </row>
    <row r="7" spans="1:10" x14ac:dyDescent="0.3">
      <c r="A7" t="s">
        <v>783</v>
      </c>
      <c r="B7" t="s">
        <v>787</v>
      </c>
      <c r="C7" t="s">
        <v>1289</v>
      </c>
      <c r="D7">
        <v>54</v>
      </c>
      <c r="E7">
        <v>12662.77</v>
      </c>
      <c r="G7" t="str">
        <v>Stapler Model-869</v>
      </c>
    </row>
    <row r="8" spans="1:10" x14ac:dyDescent="0.3">
      <c r="A8" t="s">
        <v>783</v>
      </c>
      <c r="B8" t="s">
        <v>788</v>
      </c>
      <c r="C8" t="s">
        <v>1290</v>
      </c>
      <c r="D8">
        <v>65</v>
      </c>
      <c r="E8">
        <v>13501.59</v>
      </c>
      <c r="G8" t="str">
        <v>Pen Model-630</v>
      </c>
    </row>
    <row r="9" spans="1:10" x14ac:dyDescent="0.3">
      <c r="A9" t="s">
        <v>783</v>
      </c>
      <c r="B9" t="s">
        <v>788</v>
      </c>
      <c r="C9" t="s">
        <v>1291</v>
      </c>
      <c r="D9">
        <v>106</v>
      </c>
      <c r="E9">
        <v>18677.649999999998</v>
      </c>
      <c r="G9" t="str">
        <v>Laptop Model-214</v>
      </c>
    </row>
    <row r="10" spans="1:10" x14ac:dyDescent="0.3">
      <c r="A10" t="s">
        <v>783</v>
      </c>
      <c r="B10" t="s">
        <v>788</v>
      </c>
      <c r="C10" t="s">
        <v>1289</v>
      </c>
      <c r="D10">
        <v>88</v>
      </c>
      <c r="E10">
        <v>12773.95</v>
      </c>
      <c r="G10" t="str">
        <v>Pen Model-819</v>
      </c>
    </row>
    <row r="11" spans="1:10" x14ac:dyDescent="0.3">
      <c r="A11" t="s">
        <v>786</v>
      </c>
      <c r="B11" t="s">
        <v>789</v>
      </c>
      <c r="C11" t="s">
        <v>1290</v>
      </c>
      <c r="D11">
        <v>96</v>
      </c>
      <c r="E11">
        <v>13519.369999999999</v>
      </c>
    </row>
    <row r="12" spans="1:10" x14ac:dyDescent="0.3">
      <c r="A12" t="s">
        <v>786</v>
      </c>
      <c r="B12" t="s">
        <v>789</v>
      </c>
      <c r="C12" t="s">
        <v>1291</v>
      </c>
      <c r="D12">
        <v>90</v>
      </c>
      <c r="E12">
        <v>18895.059999999998</v>
      </c>
    </row>
    <row r="13" spans="1:10" x14ac:dyDescent="0.3">
      <c r="A13" t="s">
        <v>786</v>
      </c>
      <c r="B13" t="s">
        <v>789</v>
      </c>
      <c r="C13" t="s">
        <v>1289</v>
      </c>
      <c r="D13">
        <v>121</v>
      </c>
      <c r="E13">
        <v>21742.399999999998</v>
      </c>
      <c r="G13" s="47" t="s">
        <v>1336</v>
      </c>
      <c r="H13" s="47"/>
      <c r="I13" s="47"/>
    </row>
    <row r="14" spans="1:10" x14ac:dyDescent="0.3">
      <c r="A14" t="s">
        <v>786</v>
      </c>
      <c r="B14" t="s">
        <v>787</v>
      </c>
      <c r="C14" t="s">
        <v>1290</v>
      </c>
      <c r="D14">
        <v>87</v>
      </c>
      <c r="E14">
        <v>14398.15</v>
      </c>
      <c r="G14" s="13" t="s">
        <v>2</v>
      </c>
      <c r="H14" s="13" t="s">
        <v>9</v>
      </c>
    </row>
    <row r="15" spans="1:10" x14ac:dyDescent="0.3">
      <c r="A15" t="s">
        <v>786</v>
      </c>
      <c r="B15" t="s">
        <v>787</v>
      </c>
      <c r="C15" t="s">
        <v>1291</v>
      </c>
      <c r="D15">
        <v>46</v>
      </c>
      <c r="E15">
        <v>10707.939999999999</v>
      </c>
      <c r="G15" s="12" t="s">
        <v>783</v>
      </c>
      <c r="H15">
        <v>9180.09</v>
      </c>
    </row>
    <row r="16" spans="1:10" x14ac:dyDescent="0.3">
      <c r="A16" t="s">
        <v>786</v>
      </c>
      <c r="B16" t="s">
        <v>787</v>
      </c>
      <c r="C16" t="s">
        <v>1289</v>
      </c>
      <c r="D16">
        <v>85</v>
      </c>
      <c r="E16">
        <v>16345.78</v>
      </c>
      <c r="G16" s="12" t="s">
        <v>786</v>
      </c>
      <c r="H16">
        <v>7926.0600000000049</v>
      </c>
    </row>
    <row r="17" spans="1:12" x14ac:dyDescent="0.3">
      <c r="A17" t="s">
        <v>786</v>
      </c>
      <c r="B17" t="s">
        <v>788</v>
      </c>
      <c r="C17" t="s">
        <v>1290</v>
      </c>
      <c r="D17">
        <v>56</v>
      </c>
      <c r="E17">
        <v>7726.25</v>
      </c>
      <c r="G17" s="12" t="s">
        <v>785</v>
      </c>
      <c r="H17">
        <v>7338.0899999999983</v>
      </c>
    </row>
    <row r="18" spans="1:12" x14ac:dyDescent="0.3">
      <c r="A18" t="s">
        <v>786</v>
      </c>
      <c r="B18" t="s">
        <v>788</v>
      </c>
      <c r="C18" t="s">
        <v>1291</v>
      </c>
      <c r="D18">
        <v>68</v>
      </c>
      <c r="E18">
        <v>9150.130000000001</v>
      </c>
      <c r="G18" s="12" t="s">
        <v>784</v>
      </c>
      <c r="H18">
        <v>9653.9700000000048</v>
      </c>
    </row>
    <row r="19" spans="1:12" x14ac:dyDescent="0.3">
      <c r="A19" t="s">
        <v>786</v>
      </c>
      <c r="B19" t="s">
        <v>788</v>
      </c>
      <c r="C19" t="s">
        <v>1289</v>
      </c>
      <c r="D19">
        <v>57</v>
      </c>
      <c r="E19">
        <v>10780.76</v>
      </c>
    </row>
    <row r="20" spans="1:12" x14ac:dyDescent="0.3">
      <c r="A20" t="s">
        <v>785</v>
      </c>
      <c r="B20" t="s">
        <v>789</v>
      </c>
      <c r="C20" t="s">
        <v>1290</v>
      </c>
      <c r="D20">
        <v>91</v>
      </c>
      <c r="E20">
        <v>18377.990000000002</v>
      </c>
    </row>
    <row r="21" spans="1:12" ht="15" thickBot="1" x14ac:dyDescent="0.35">
      <c r="A21" t="s">
        <v>785</v>
      </c>
      <c r="B21" t="s">
        <v>789</v>
      </c>
      <c r="C21" t="s">
        <v>1291</v>
      </c>
      <c r="D21">
        <v>45</v>
      </c>
      <c r="E21">
        <v>6401.77</v>
      </c>
      <c r="G21" s="48" t="s">
        <v>1340</v>
      </c>
      <c r="H21" s="48"/>
      <c r="I21" s="48"/>
      <c r="J21" s="48"/>
      <c r="K21" s="48"/>
    </row>
    <row r="22" spans="1:12" x14ac:dyDescent="0.3">
      <c r="A22" t="s">
        <v>785</v>
      </c>
      <c r="B22" t="s">
        <v>789</v>
      </c>
      <c r="C22" t="s">
        <v>1289</v>
      </c>
      <c r="D22">
        <v>62</v>
      </c>
      <c r="E22">
        <v>13643.580000000002</v>
      </c>
      <c r="G22" s="15"/>
      <c r="H22" s="15" t="s">
        <v>6</v>
      </c>
      <c r="I22" s="15" t="s">
        <v>7</v>
      </c>
      <c r="J22" s="15" t="s">
        <v>8</v>
      </c>
      <c r="K22" s="15" t="s">
        <v>9</v>
      </c>
    </row>
    <row r="23" spans="1:12" x14ac:dyDescent="0.3">
      <c r="A23" t="s">
        <v>785</v>
      </c>
      <c r="B23" t="s">
        <v>787</v>
      </c>
      <c r="C23" t="s">
        <v>1290</v>
      </c>
      <c r="D23">
        <v>73</v>
      </c>
      <c r="E23">
        <v>12752.79</v>
      </c>
      <c r="G23" t="s">
        <v>6</v>
      </c>
      <c r="H23">
        <v>1</v>
      </c>
    </row>
    <row r="24" spans="1:12" x14ac:dyDescent="0.3">
      <c r="A24" t="s">
        <v>785</v>
      </c>
      <c r="B24" t="s">
        <v>787</v>
      </c>
      <c r="C24" t="s">
        <v>1291</v>
      </c>
      <c r="D24">
        <v>66</v>
      </c>
      <c r="E24">
        <v>14688.010000000002</v>
      </c>
      <c r="G24" t="s">
        <v>7</v>
      </c>
      <c r="H24">
        <v>-1.2895177424365934E-2</v>
      </c>
      <c r="I24">
        <v>1</v>
      </c>
    </row>
    <row r="25" spans="1:12" x14ac:dyDescent="0.3">
      <c r="A25" t="s">
        <v>785</v>
      </c>
      <c r="B25" t="s">
        <v>787</v>
      </c>
      <c r="C25" t="s">
        <v>1289</v>
      </c>
      <c r="D25">
        <v>62</v>
      </c>
      <c r="E25">
        <v>13906.470000000001</v>
      </c>
      <c r="G25" t="s">
        <v>8</v>
      </c>
      <c r="H25">
        <v>6.0797248498297485E-2</v>
      </c>
      <c r="I25">
        <v>-1.4578590467226638E-2</v>
      </c>
      <c r="J25">
        <v>1</v>
      </c>
    </row>
    <row r="26" spans="1:12" ht="15" thickBot="1" x14ac:dyDescent="0.35">
      <c r="A26" t="s">
        <v>785</v>
      </c>
      <c r="B26" t="s">
        <v>788</v>
      </c>
      <c r="C26" t="s">
        <v>1290</v>
      </c>
      <c r="D26">
        <v>74</v>
      </c>
      <c r="E26">
        <v>15744.41</v>
      </c>
      <c r="G26" s="14" t="s">
        <v>9</v>
      </c>
      <c r="H26" s="14">
        <v>0.24797139979008906</v>
      </c>
      <c r="I26" s="14">
        <v>2.0912809980509973E-2</v>
      </c>
      <c r="J26" s="14">
        <v>-0.56919814650916845</v>
      </c>
      <c r="K26" s="14">
        <v>1</v>
      </c>
    </row>
    <row r="27" spans="1:12" x14ac:dyDescent="0.3">
      <c r="A27" t="s">
        <v>785</v>
      </c>
      <c r="B27" t="s">
        <v>788</v>
      </c>
      <c r="C27" t="s">
        <v>1291</v>
      </c>
      <c r="D27">
        <v>108</v>
      </c>
      <c r="E27">
        <v>21153.670000000002</v>
      </c>
    </row>
    <row r="28" spans="1:12" x14ac:dyDescent="0.3">
      <c r="A28" t="s">
        <v>785</v>
      </c>
      <c r="B28" t="s">
        <v>788</v>
      </c>
      <c r="C28" t="s">
        <v>1289</v>
      </c>
      <c r="D28">
        <v>90</v>
      </c>
      <c r="E28">
        <v>16020.43</v>
      </c>
    </row>
    <row r="29" spans="1:12" x14ac:dyDescent="0.3">
      <c r="A29" t="s">
        <v>784</v>
      </c>
      <c r="B29" t="s">
        <v>789</v>
      </c>
      <c r="C29" t="s">
        <v>1290</v>
      </c>
      <c r="D29">
        <v>76</v>
      </c>
      <c r="E29">
        <v>12520.210000000003</v>
      </c>
    </row>
    <row r="30" spans="1:12" x14ac:dyDescent="0.3">
      <c r="A30" t="s">
        <v>784</v>
      </c>
      <c r="B30" t="s">
        <v>789</v>
      </c>
      <c r="C30" t="s">
        <v>1291</v>
      </c>
      <c r="D30">
        <v>85</v>
      </c>
      <c r="E30">
        <v>13876.949999999999</v>
      </c>
      <c r="G30" s="47" t="s">
        <v>1341</v>
      </c>
      <c r="H30" s="47"/>
      <c r="I30" s="47"/>
      <c r="K30" s="47" t="s">
        <v>1358</v>
      </c>
      <c r="L30" s="47"/>
    </row>
    <row r="31" spans="1:12" x14ac:dyDescent="0.3">
      <c r="A31" t="s">
        <v>784</v>
      </c>
      <c r="B31" t="s">
        <v>789</v>
      </c>
      <c r="C31" t="s">
        <v>1289</v>
      </c>
      <c r="D31">
        <v>58</v>
      </c>
      <c r="E31">
        <v>6747.670000000001</v>
      </c>
      <c r="G31" t="str">
        <f>INDEX('Pviot(advance Analysts) '!A4:A16,MATCH(MAX('Pviot(advance Analysts) '!B4:B16),'Pviot(advance Analysts) '!B4:B16,0))</f>
        <v>February</v>
      </c>
      <c r="K31" t="str" cm="1">
        <f t="array" ref="K31:L530">_xlfn.LET( _xlpm.profit, Data!L2:L501, _xlpm.product, Data!G2:G501, _xlpm.uni_product, Data!G2:G501, _xlpm.avg, _xlfn.MAP(_xlpm.uni_product,_xlfn.LAMBDA(_xlpm.x,AVERAGEIF(_xlpm.product,_xlpm.x,_xlpm.profit))),_xlfn.HSTACK(_xlpm.uni_product,_xlpm.avg))</f>
        <v>Stapler Model-217</v>
      </c>
      <c r="L31">
        <v>86.37</v>
      </c>
    </row>
    <row r="32" spans="1:12" x14ac:dyDescent="0.3">
      <c r="A32" t="s">
        <v>784</v>
      </c>
      <c r="B32" t="s">
        <v>787</v>
      </c>
      <c r="C32" t="s">
        <v>1290</v>
      </c>
      <c r="D32">
        <v>51</v>
      </c>
      <c r="E32">
        <v>8927.91</v>
      </c>
      <c r="K32" t="str">
        <v>Printer Model-628</v>
      </c>
      <c r="L32">
        <v>31.33</v>
      </c>
    </row>
    <row r="33" spans="1:12" x14ac:dyDescent="0.3">
      <c r="A33" t="s">
        <v>784</v>
      </c>
      <c r="B33" t="s">
        <v>787</v>
      </c>
      <c r="C33" t="s">
        <v>1291</v>
      </c>
      <c r="D33">
        <v>84</v>
      </c>
      <c r="E33">
        <v>12344.460000000001</v>
      </c>
      <c r="G33" s="47" t="s">
        <v>1356</v>
      </c>
      <c r="H33" s="47"/>
      <c r="I33" s="47"/>
      <c r="K33" t="str">
        <v>Printer Model-937</v>
      </c>
      <c r="L33">
        <v>91.85</v>
      </c>
    </row>
    <row r="34" spans="1:12" x14ac:dyDescent="0.3">
      <c r="A34" t="s">
        <v>784</v>
      </c>
      <c r="B34" t="s">
        <v>787</v>
      </c>
      <c r="C34" t="s">
        <v>1289</v>
      </c>
      <c r="D34">
        <v>125</v>
      </c>
      <c r="E34">
        <v>23462.329999999998</v>
      </c>
      <c r="G34" t="str" cm="1">
        <f t="array" ref="G34">_xlfn.LET(_xlpm.Category,Data!E2:E501,_xlpm.profit,Data!L2:L501,_xlpm.unicat,_xlfn.UNIQUE(_xlpm.Category),_xlpm.avg_cat,_xlfn.MAP(_xlpm.unicat,_xlfn.LAMBDA(_xlpm.m,AVERAGEIF(_xlpm.Category,_xlpm.m,_xlpm.profit))),INDEX(_xlpm.unicat,MATCH(MAX(_xlpm.avg_cat),_xlpm.avg_cat,0)))</f>
        <v>Technology</v>
      </c>
      <c r="K34" t="str">
        <v>Binder Model-166</v>
      </c>
      <c r="L34">
        <v>86.37</v>
      </c>
    </row>
    <row r="35" spans="1:12" x14ac:dyDescent="0.3">
      <c r="A35" t="s">
        <v>784</v>
      </c>
      <c r="B35" t="s">
        <v>788</v>
      </c>
      <c r="C35" t="s">
        <v>1290</v>
      </c>
      <c r="D35">
        <v>93</v>
      </c>
      <c r="E35">
        <v>14378.48</v>
      </c>
      <c r="K35" t="str">
        <v>Stapler Model-257</v>
      </c>
      <c r="L35">
        <v>252.83</v>
      </c>
    </row>
    <row r="36" spans="1:12" x14ac:dyDescent="0.3">
      <c r="A36" t="s">
        <v>784</v>
      </c>
      <c r="B36" t="s">
        <v>788</v>
      </c>
      <c r="C36" t="s">
        <v>1291</v>
      </c>
      <c r="D36">
        <v>62</v>
      </c>
      <c r="E36">
        <v>15953.989999999998</v>
      </c>
      <c r="G36" s="47" t="s">
        <v>1360</v>
      </c>
      <c r="H36" s="47"/>
      <c r="I36" s="47"/>
      <c r="K36" t="str">
        <v>Phone Model-541</v>
      </c>
      <c r="L36">
        <v>252.93</v>
      </c>
    </row>
    <row r="37" spans="1:12" x14ac:dyDescent="0.3">
      <c r="A37" t="s">
        <v>784</v>
      </c>
      <c r="B37" t="s">
        <v>788</v>
      </c>
      <c r="C37" t="s">
        <v>1289</v>
      </c>
      <c r="D37">
        <v>59</v>
      </c>
      <c r="E37">
        <v>11051.710000000001</v>
      </c>
      <c r="G37" t="str" cm="1">
        <f t="array" ref="G37">_xlfn.LET(_xlpm.Discount,Data!K2:K501,
_xlpm.region,Data!D2:D501,
_xlpm.uniq_region,_xlfn.UNIQUE(_xlpm.region),
_xlpm.avg_table,_xlfn.MAP(_xlpm.uniq_region,_xlfn.LAMBDA(_xlpm.m,AVERAGEIF(_xlpm.region,_xlpm.m,_xlpm.Discount))),
_xlpm.max_id,MATCH(MAX(_xlpm.avg_table),_xlpm.avg_table,0),
INDEX(_xlpm.uniq_region,_xlpm.max_id))</f>
        <v>North</v>
      </c>
      <c r="K37" t="str">
        <v>Chair Model-531</v>
      </c>
      <c r="L37">
        <v>-107.33</v>
      </c>
    </row>
    <row r="38" spans="1:12" x14ac:dyDescent="0.3">
      <c r="K38" t="str">
        <v>Binder Model-336</v>
      </c>
      <c r="L38">
        <v>4.32</v>
      </c>
    </row>
    <row r="39" spans="1:12" x14ac:dyDescent="0.3">
      <c r="G39" s="47" t="s">
        <v>1361</v>
      </c>
      <c r="H39" s="47"/>
      <c r="I39" s="47"/>
      <c r="K39" t="str">
        <v>Monitor Model-188</v>
      </c>
      <c r="L39">
        <v>-47.44</v>
      </c>
    </row>
    <row r="40" spans="1:12" x14ac:dyDescent="0.3">
      <c r="G40" t="str" cm="1">
        <f t="array" ref="G40">_xlfn.LET(_xlpm.profit, Data!L2:L501, _xlpm.Sale, Data!H2:H501, _xlpm.Profit_margin, _xlpm.profit/_xlpm.Sale*100, _xlpm.Category,Data!E2:E501, _xlpm.uni_cat, _xlfn.UNIQUE(_xlpm.Category), _xlpm.table, _xlfn.MAP(_xlpm.uni_cat,_xlfn.LAMBDA(_xlpm.x,MAX(_xlpm.Profit_margin))),
_xlpm.m_idex, MATCH(MAX(_xlpm.table),_xlpm.table,0),
INDEX(_xlpm.uni_cat,_xlpm.m_idex))</f>
        <v>Office Supplies</v>
      </c>
      <c r="K40" t="str">
        <v>Printer Model-117</v>
      </c>
      <c r="L40">
        <v>114.35</v>
      </c>
    </row>
    <row r="41" spans="1:12" x14ac:dyDescent="0.3">
      <c r="K41" t="str">
        <v>Laptop Model-306</v>
      </c>
      <c r="L41">
        <v>-14.51</v>
      </c>
    </row>
    <row r="42" spans="1:12" x14ac:dyDescent="0.3">
      <c r="G42" s="47" t="s">
        <v>1362</v>
      </c>
      <c r="H42" s="47"/>
      <c r="I42" s="47"/>
      <c r="K42" t="str">
        <v>Phone Model-683</v>
      </c>
      <c r="L42">
        <v>95.72</v>
      </c>
    </row>
    <row r="43" spans="1:12" x14ac:dyDescent="0.3">
      <c r="G43" t="str" cm="1">
        <f t="array" ref="G43:I54">_xlfn.LET(
    _xlpm.Month, Data!C2:C501,
    _xlpm.uni_month, _xlfn.UNIQUE(_xlpm.Month),
    _xlpm.Sales, Data!H2:H501,
    _xlpm.total_sales, _xlfn.MAP(_xlpm.uni_month, _xlfn.LAMBDA(_xlpm.m, SUMIF(_xlpm.Month, _xlpm.m, _xlpm.Sales))),
    _xlpm.classify, _xlfn.LAMBDA(_xlpm.x, IF(_xlpm.x &gt; 20000, "High", IF(_xlpm.x &gt;= 10000, "Medium", "Low"))),
    _xlpm.Category, _xlfn.MAP(_xlpm.total_sales, _xlpm.classify),
    _xlfn.HSTACK(_xlpm.uni_month, _xlpm.total_sales, _xlpm.Category)
)</f>
        <v>June</v>
      </c>
      <c r="H43">
        <v>42426.909999999996</v>
      </c>
      <c r="I43" t="str">
        <v>High</v>
      </c>
      <c r="K43" t="str">
        <v>Sofa Model-896</v>
      </c>
      <c r="L43">
        <v>204.65</v>
      </c>
    </row>
    <row r="44" spans="1:12" x14ac:dyDescent="0.3">
      <c r="G44" t="str">
        <v>April</v>
      </c>
      <c r="H44">
        <v>35133.75</v>
      </c>
      <c r="I44" t="str">
        <v>High</v>
      </c>
      <c r="K44" t="str">
        <v>Table Model-293</v>
      </c>
      <c r="L44">
        <v>-42</v>
      </c>
    </row>
    <row r="45" spans="1:12" x14ac:dyDescent="0.3">
      <c r="G45" t="str">
        <v>January</v>
      </c>
      <c r="H45">
        <v>43951.5</v>
      </c>
      <c r="I45" t="str">
        <v>High</v>
      </c>
      <c r="K45" t="str">
        <v>Sofa Model-890</v>
      </c>
      <c r="L45">
        <v>50.38</v>
      </c>
    </row>
    <row r="46" spans="1:12" x14ac:dyDescent="0.3">
      <c r="G46" t="str">
        <v>September</v>
      </c>
      <c r="H46">
        <v>38863.31</v>
      </c>
      <c r="I46" t="str">
        <v>High</v>
      </c>
      <c r="K46" t="str">
        <v>Table Model-396</v>
      </c>
      <c r="L46">
        <v>24.1</v>
      </c>
    </row>
    <row r="47" spans="1:12" x14ac:dyDescent="0.3">
      <c r="G47" t="str">
        <v>February</v>
      </c>
      <c r="H47">
        <v>34016.740000000005</v>
      </c>
      <c r="I47" t="str">
        <v>High</v>
      </c>
      <c r="K47" t="str">
        <v>Bookcase Model-567</v>
      </c>
      <c r="L47">
        <v>3.82</v>
      </c>
    </row>
    <row r="48" spans="1:12" x14ac:dyDescent="0.3">
      <c r="G48" t="str">
        <v>July</v>
      </c>
      <c r="H48">
        <v>49607.689999999995</v>
      </c>
      <c r="I48" t="str">
        <v>High</v>
      </c>
      <c r="K48" t="str">
        <v>Paper Model-874</v>
      </c>
      <c r="L48">
        <v>-15.99</v>
      </c>
    </row>
    <row r="49" spans="7:12" x14ac:dyDescent="0.3">
      <c r="G49" t="str">
        <v>May</v>
      </c>
      <c r="H49">
        <v>34616.54</v>
      </c>
      <c r="I49" t="str">
        <v>High</v>
      </c>
      <c r="K49" t="str">
        <v>Table Model-923</v>
      </c>
      <c r="L49">
        <v>64.61</v>
      </c>
    </row>
    <row r="50" spans="7:12" x14ac:dyDescent="0.3">
      <c r="G50" t="str">
        <v>August</v>
      </c>
      <c r="H50">
        <v>38604.12000000001</v>
      </c>
      <c r="I50" t="str">
        <v>High</v>
      </c>
      <c r="K50" t="str">
        <v>Chair Model-407</v>
      </c>
      <c r="L50">
        <v>133.24</v>
      </c>
    </row>
    <row r="51" spans="7:12" x14ac:dyDescent="0.3">
      <c r="G51" t="str">
        <v>March</v>
      </c>
      <c r="H51">
        <v>52376.79</v>
      </c>
      <c r="I51" t="str">
        <v>High</v>
      </c>
      <c r="K51" t="str">
        <v>Laptop Model-863</v>
      </c>
      <c r="L51">
        <v>-8.59</v>
      </c>
    </row>
    <row r="52" spans="7:12" x14ac:dyDescent="0.3">
      <c r="G52" t="str">
        <v>November</v>
      </c>
      <c r="H52">
        <v>36643.280000000006</v>
      </c>
      <c r="I52" t="str">
        <v>High</v>
      </c>
      <c r="K52" t="str">
        <v>Phone Model-925</v>
      </c>
      <c r="L52">
        <v>33.81</v>
      </c>
    </row>
    <row r="53" spans="7:12" x14ac:dyDescent="0.3">
      <c r="G53" t="str">
        <v>October</v>
      </c>
      <c r="H53">
        <v>53110.19999999999</v>
      </c>
      <c r="I53" t="str">
        <v>High</v>
      </c>
      <c r="K53" t="str">
        <v>Monitor Model-275</v>
      </c>
      <c r="L53">
        <v>187.33</v>
      </c>
    </row>
    <row r="54" spans="7:12" x14ac:dyDescent="0.3">
      <c r="G54" t="str">
        <v>December</v>
      </c>
      <c r="H54">
        <v>39230.5</v>
      </c>
      <c r="I54" t="str">
        <v>High</v>
      </c>
      <c r="K54" t="str">
        <v>Chair Model-449</v>
      </c>
      <c r="L54">
        <v>113.79</v>
      </c>
    </row>
    <row r="55" spans="7:12" x14ac:dyDescent="0.3">
      <c r="K55" t="str">
        <v>Binder Model-671</v>
      </c>
      <c r="L55">
        <v>70.010000000000005</v>
      </c>
    </row>
    <row r="56" spans="7:12" x14ac:dyDescent="0.3">
      <c r="K56" t="str">
        <v>Phone Model-832</v>
      </c>
      <c r="L56">
        <v>-89.79</v>
      </c>
    </row>
    <row r="57" spans="7:12" x14ac:dyDescent="0.3">
      <c r="K57" t="str">
        <v>Phone Model-302</v>
      </c>
      <c r="L57">
        <v>0.96</v>
      </c>
    </row>
    <row r="58" spans="7:12" x14ac:dyDescent="0.3">
      <c r="G58" s="47" t="s">
        <v>1363</v>
      </c>
      <c r="H58" s="47"/>
      <c r="I58" s="47"/>
      <c r="K58" t="str">
        <v>Sofa Model-862</v>
      </c>
      <c r="L58">
        <v>-72.709999999999994</v>
      </c>
    </row>
    <row r="59" spans="7:12" x14ac:dyDescent="0.3">
      <c r="G59" t="str" cm="1">
        <f t="array" ref="G59:H62">avg(Data!D2:D501,Data!L2:L501)</f>
        <v>East</v>
      </c>
      <c r="H59">
        <v>75.316747967479657</v>
      </c>
      <c r="K59" t="str">
        <v>Printer Model-415</v>
      </c>
      <c r="L59">
        <v>-19.48</v>
      </c>
    </row>
    <row r="60" spans="7:12" x14ac:dyDescent="0.3">
      <c r="G60" t="str">
        <v>West</v>
      </c>
      <c r="H60">
        <v>77.854596774193581</v>
      </c>
      <c r="K60" t="str">
        <v>Paper Model-341</v>
      </c>
      <c r="L60">
        <v>370.73</v>
      </c>
    </row>
    <row r="61" spans="7:12" x14ac:dyDescent="0.3">
      <c r="G61" t="str">
        <v>South</v>
      </c>
      <c r="H61">
        <v>58.238809523809508</v>
      </c>
      <c r="K61" t="str">
        <v>Pen Model-876</v>
      </c>
      <c r="L61">
        <v>65.239999999999995</v>
      </c>
    </row>
    <row r="62" spans="7:12" x14ac:dyDescent="0.3">
      <c r="G62" t="str">
        <v>North</v>
      </c>
      <c r="H62">
        <v>62.409921259842555</v>
      </c>
      <c r="K62" t="str">
        <v>Stapler Model-315</v>
      </c>
      <c r="L62">
        <v>136.63999999999999</v>
      </c>
    </row>
    <row r="63" spans="7:12" ht="6" customHeight="1" x14ac:dyDescent="0.3">
      <c r="K63" t="str">
        <v>Laptop Model-762</v>
      </c>
      <c r="L63">
        <v>-123.42</v>
      </c>
    </row>
    <row r="64" spans="7:12" ht="15.75" customHeight="1" x14ac:dyDescent="0.3">
      <c r="G64" s="49" t="s">
        <v>1366</v>
      </c>
      <c r="H64" s="50"/>
      <c r="I64" s="50"/>
      <c r="K64" t="str">
        <v>Chair Model-681</v>
      </c>
      <c r="L64">
        <v>-174.78</v>
      </c>
    </row>
    <row r="65" spans="7:12" x14ac:dyDescent="0.3">
      <c r="G65" s="50"/>
      <c r="H65" s="50"/>
      <c r="I65" s="50"/>
      <c r="K65" t="str">
        <v>Binder Model-649</v>
      </c>
      <c r="L65">
        <v>-160.47</v>
      </c>
    </row>
    <row r="66" spans="7:12" x14ac:dyDescent="0.3">
      <c r="G66" s="50"/>
      <c r="H66" s="50"/>
      <c r="I66" s="50"/>
      <c r="K66" t="str">
        <v>Paper Model-801</v>
      </c>
      <c r="L66">
        <v>-26.89</v>
      </c>
    </row>
    <row r="67" spans="7:12" x14ac:dyDescent="0.3">
      <c r="G67" s="50"/>
      <c r="H67" s="50"/>
      <c r="I67" s="50"/>
      <c r="K67" t="str">
        <v>Laptop Model-960</v>
      </c>
      <c r="L67">
        <v>-1.36</v>
      </c>
    </row>
    <row r="68" spans="7:12" x14ac:dyDescent="0.3">
      <c r="G68" s="50"/>
      <c r="H68" s="50"/>
      <c r="I68" s="50"/>
      <c r="K68" t="str">
        <v>Table Model-132</v>
      </c>
      <c r="L68">
        <v>316.05</v>
      </c>
    </row>
    <row r="69" spans="7:12" x14ac:dyDescent="0.3">
      <c r="G69" s="50"/>
      <c r="H69" s="50"/>
      <c r="I69" s="50"/>
      <c r="K69" t="str">
        <v>Stapler Model-392</v>
      </c>
      <c r="L69">
        <v>118.82</v>
      </c>
    </row>
    <row r="70" spans="7:12" ht="43.2" customHeight="1" x14ac:dyDescent="0.3">
      <c r="G70" s="50"/>
      <c r="H70" s="50"/>
      <c r="I70" s="50"/>
      <c r="K70" t="str">
        <v>Laptop Model-214</v>
      </c>
      <c r="L70">
        <v>-200.38</v>
      </c>
    </row>
    <row r="71" spans="7:12" x14ac:dyDescent="0.3">
      <c r="K71" t="str">
        <v>Printer Model-989</v>
      </c>
      <c r="L71">
        <v>43.72</v>
      </c>
    </row>
    <row r="72" spans="7:12" x14ac:dyDescent="0.3">
      <c r="G72" cm="1">
        <f t="array" ref="G72:H195">_xlfn.LET(
    _xlpm.region, Data!D2:D501,
    _xlpm.Sales, Data!H2:H501,
    _xlpm.WestSales, _xlfn._xlws.FILTER(_xlpm.Sales, _xlpm.region="West"),
    _xlpm.table, _xlfn.MAP(
        _xlpm.WestSales,
        _xlfn.LAMBDA(_xlpm.m,
            _xlfn.IFS(
                _xlpm.m &gt; 800, "Top Order",
                AND(_xlpm.m &gt; 400, _xlpm.m &lt;= 800), "Moderate",
                TRUE, "Low Order"
            )
        )
    ),
    _xlfn.HSTACK(_xlpm.WestSales, _xlpm.table)
)</f>
        <v>120.25</v>
      </c>
      <c r="H72" t="str">
        <v>Low Order</v>
      </c>
      <c r="K72" t="str">
        <v>Laptop Model-205</v>
      </c>
      <c r="L72">
        <v>344.47</v>
      </c>
    </row>
    <row r="73" spans="7:12" x14ac:dyDescent="0.3">
      <c r="G73">
        <v>669.02</v>
      </c>
      <c r="H73" t="str">
        <v>Moderate</v>
      </c>
      <c r="K73" t="str">
        <v>Sofa Model-556</v>
      </c>
      <c r="L73">
        <v>138.37</v>
      </c>
    </row>
    <row r="74" spans="7:12" x14ac:dyDescent="0.3">
      <c r="G74">
        <v>1058.54</v>
      </c>
      <c r="H74" t="str">
        <v>Top Order</v>
      </c>
      <c r="K74" t="str">
        <v>Printer Model-621</v>
      </c>
      <c r="L74">
        <v>132.72999999999999</v>
      </c>
    </row>
    <row r="75" spans="7:12" x14ac:dyDescent="0.3">
      <c r="G75">
        <v>1044.52</v>
      </c>
      <c r="H75" t="str">
        <v>Top Order</v>
      </c>
      <c r="K75" t="str">
        <v>Chair Model-549</v>
      </c>
      <c r="L75">
        <v>-51.22</v>
      </c>
    </row>
    <row r="76" spans="7:12" x14ac:dyDescent="0.3">
      <c r="G76">
        <v>644.08000000000004</v>
      </c>
      <c r="H76" t="str">
        <v>Moderate</v>
      </c>
      <c r="K76" t="str">
        <v>Pen Model-599</v>
      </c>
      <c r="L76">
        <v>2.19</v>
      </c>
    </row>
    <row r="77" spans="7:12" x14ac:dyDescent="0.3">
      <c r="G77">
        <v>854.51</v>
      </c>
      <c r="H77" t="str">
        <v>Top Order</v>
      </c>
      <c r="K77" t="str">
        <v>Chair Model-542</v>
      </c>
      <c r="L77">
        <v>-101.89</v>
      </c>
    </row>
    <row r="78" spans="7:12" x14ac:dyDescent="0.3">
      <c r="G78">
        <v>320.69</v>
      </c>
      <c r="H78" t="str">
        <v>Low Order</v>
      </c>
      <c r="K78" t="str">
        <v>Stapler Model-979</v>
      </c>
      <c r="L78">
        <v>3.51</v>
      </c>
    </row>
    <row r="79" spans="7:12" x14ac:dyDescent="0.3">
      <c r="G79">
        <v>440.45</v>
      </c>
      <c r="H79" t="str">
        <v>Moderate</v>
      </c>
      <c r="K79" t="str">
        <v>Table Model-178</v>
      </c>
      <c r="L79">
        <v>330.46</v>
      </c>
    </row>
    <row r="80" spans="7:12" x14ac:dyDescent="0.3">
      <c r="G80">
        <v>1096.6500000000001</v>
      </c>
      <c r="H80" t="str">
        <v>Top Order</v>
      </c>
      <c r="K80" t="str">
        <v>Monitor Model-444</v>
      </c>
      <c r="L80">
        <v>350.3</v>
      </c>
    </row>
    <row r="81" spans="7:12" x14ac:dyDescent="0.3">
      <c r="G81">
        <v>567.23</v>
      </c>
      <c r="H81" t="str">
        <v>Moderate</v>
      </c>
      <c r="K81" t="str">
        <v>Paper Model-673</v>
      </c>
      <c r="L81">
        <v>-3.77</v>
      </c>
    </row>
    <row r="82" spans="7:12" x14ac:dyDescent="0.3">
      <c r="G82">
        <v>611.9</v>
      </c>
      <c r="H82" t="str">
        <v>Moderate</v>
      </c>
      <c r="K82" t="str">
        <v>Pen Model-624</v>
      </c>
      <c r="L82">
        <v>-8.4700000000000006</v>
      </c>
    </row>
    <row r="83" spans="7:12" x14ac:dyDescent="0.3">
      <c r="G83">
        <v>1893.59</v>
      </c>
      <c r="H83" t="str">
        <v>Top Order</v>
      </c>
      <c r="K83" t="str">
        <v>Binder Model-791</v>
      </c>
      <c r="L83">
        <v>82.63</v>
      </c>
    </row>
    <row r="84" spans="7:12" x14ac:dyDescent="0.3">
      <c r="G84">
        <v>1436.59</v>
      </c>
      <c r="H84" t="str">
        <v>Top Order</v>
      </c>
      <c r="K84" t="str">
        <v>Pen Model-485</v>
      </c>
      <c r="L84">
        <v>26.23</v>
      </c>
    </row>
    <row r="85" spans="7:12" x14ac:dyDescent="0.3">
      <c r="G85">
        <v>1212.1500000000001</v>
      </c>
      <c r="H85" t="str">
        <v>Top Order</v>
      </c>
      <c r="K85" t="str">
        <v>Laptop Model-278</v>
      </c>
      <c r="L85">
        <v>-7.05</v>
      </c>
    </row>
    <row r="86" spans="7:12" x14ac:dyDescent="0.3">
      <c r="G86">
        <v>1395.22</v>
      </c>
      <c r="H86" t="str">
        <v>Top Order</v>
      </c>
      <c r="K86" t="str">
        <v>Monitor Model-302</v>
      </c>
      <c r="L86">
        <v>279.27999999999997</v>
      </c>
    </row>
    <row r="87" spans="7:12" x14ac:dyDescent="0.3">
      <c r="G87">
        <v>1861.21</v>
      </c>
      <c r="H87" t="str">
        <v>Top Order</v>
      </c>
      <c r="K87" t="str">
        <v>Paper Model-608</v>
      </c>
      <c r="L87">
        <v>46.93</v>
      </c>
    </row>
    <row r="88" spans="7:12" x14ac:dyDescent="0.3">
      <c r="G88">
        <v>962.45</v>
      </c>
      <c r="H88" t="str">
        <v>Top Order</v>
      </c>
      <c r="K88" t="str">
        <v>Pen Model-630</v>
      </c>
      <c r="L88">
        <v>-201.17</v>
      </c>
    </row>
    <row r="89" spans="7:12" x14ac:dyDescent="0.3">
      <c r="G89">
        <v>1077.53</v>
      </c>
      <c r="H89" t="str">
        <v>Top Order</v>
      </c>
      <c r="K89" t="str">
        <v>Laptop Model-768</v>
      </c>
      <c r="L89">
        <v>140.35</v>
      </c>
    </row>
    <row r="90" spans="7:12" x14ac:dyDescent="0.3">
      <c r="G90">
        <v>1810.9</v>
      </c>
      <c r="H90" t="str">
        <v>Top Order</v>
      </c>
      <c r="K90" t="str">
        <v>Sofa Model-936</v>
      </c>
      <c r="L90">
        <v>228.8</v>
      </c>
    </row>
    <row r="91" spans="7:12" x14ac:dyDescent="0.3">
      <c r="G91">
        <v>1685.28</v>
      </c>
      <c r="H91" t="str">
        <v>Top Order</v>
      </c>
      <c r="K91" t="str">
        <v>Stapler Model-465</v>
      </c>
      <c r="L91">
        <v>90.22</v>
      </c>
    </row>
    <row r="92" spans="7:12" x14ac:dyDescent="0.3">
      <c r="G92">
        <v>1857.93</v>
      </c>
      <c r="H92" t="str">
        <v>Top Order</v>
      </c>
      <c r="K92" t="str">
        <v>Sofa Model-243</v>
      </c>
      <c r="L92">
        <v>35.86</v>
      </c>
    </row>
    <row r="93" spans="7:12" x14ac:dyDescent="0.3">
      <c r="G93">
        <v>162.04</v>
      </c>
      <c r="H93" t="str">
        <v>Low Order</v>
      </c>
      <c r="K93" t="str">
        <v>Table Model-149</v>
      </c>
      <c r="L93">
        <v>339.21</v>
      </c>
    </row>
    <row r="94" spans="7:12" x14ac:dyDescent="0.3">
      <c r="G94">
        <v>1585.03</v>
      </c>
      <c r="H94" t="str">
        <v>Top Order</v>
      </c>
      <c r="K94" t="str">
        <v>Table Model-765</v>
      </c>
      <c r="L94">
        <v>-9.1</v>
      </c>
    </row>
    <row r="95" spans="7:12" x14ac:dyDescent="0.3">
      <c r="G95">
        <v>437.48</v>
      </c>
      <c r="H95" t="str">
        <v>Moderate</v>
      </c>
      <c r="K95" t="str">
        <v>Laptop Model-124</v>
      </c>
      <c r="L95">
        <v>123.08</v>
      </c>
    </row>
    <row r="96" spans="7:12" x14ac:dyDescent="0.3">
      <c r="G96">
        <v>542.17999999999995</v>
      </c>
      <c r="H96" t="str">
        <v>Moderate</v>
      </c>
      <c r="K96" t="str">
        <v>Laptop Model-298</v>
      </c>
      <c r="L96">
        <v>63.09</v>
      </c>
    </row>
    <row r="97" spans="7:12" x14ac:dyDescent="0.3">
      <c r="G97">
        <v>64.81</v>
      </c>
      <c r="H97" t="str">
        <v>Low Order</v>
      </c>
      <c r="K97" t="str">
        <v>Pen Model-845</v>
      </c>
      <c r="L97">
        <v>32.57</v>
      </c>
    </row>
    <row r="98" spans="7:12" x14ac:dyDescent="0.3">
      <c r="G98">
        <v>1367.21</v>
      </c>
      <c r="H98" t="str">
        <v>Top Order</v>
      </c>
      <c r="K98" t="str">
        <v>Bookcase Model-685</v>
      </c>
      <c r="L98">
        <v>12.65</v>
      </c>
    </row>
    <row r="99" spans="7:12" x14ac:dyDescent="0.3">
      <c r="G99">
        <v>1755.49</v>
      </c>
      <c r="H99" t="str">
        <v>Top Order</v>
      </c>
      <c r="K99" t="str">
        <v>Stapler Model-273</v>
      </c>
      <c r="L99">
        <v>328.66</v>
      </c>
    </row>
    <row r="100" spans="7:12" x14ac:dyDescent="0.3">
      <c r="G100">
        <v>1423.75</v>
      </c>
      <c r="H100" t="str">
        <v>Top Order</v>
      </c>
      <c r="K100" t="str">
        <v>Bookcase Model-237</v>
      </c>
      <c r="L100">
        <v>225.67</v>
      </c>
    </row>
    <row r="101" spans="7:12" x14ac:dyDescent="0.3">
      <c r="G101">
        <v>1226.22</v>
      </c>
      <c r="H101" t="str">
        <v>Top Order</v>
      </c>
      <c r="K101" t="str">
        <v>Chair Model-180</v>
      </c>
      <c r="L101">
        <v>220.66</v>
      </c>
    </row>
    <row r="102" spans="7:12" x14ac:dyDescent="0.3">
      <c r="G102">
        <v>891.67</v>
      </c>
      <c r="H102" t="str">
        <v>Top Order</v>
      </c>
      <c r="K102" t="str">
        <v>Laptop Model-759</v>
      </c>
      <c r="L102">
        <v>37.75</v>
      </c>
    </row>
    <row r="103" spans="7:12" x14ac:dyDescent="0.3">
      <c r="G103">
        <v>578.1</v>
      </c>
      <c r="H103" t="str">
        <v>Moderate</v>
      </c>
      <c r="K103" t="str">
        <v>Bookcase Model-162</v>
      </c>
      <c r="L103">
        <v>358.16</v>
      </c>
    </row>
    <row r="104" spans="7:12" x14ac:dyDescent="0.3">
      <c r="G104">
        <v>402.82</v>
      </c>
      <c r="H104" t="str">
        <v>Moderate</v>
      </c>
      <c r="K104" t="str">
        <v>Printer Model-699</v>
      </c>
      <c r="L104">
        <v>174.89</v>
      </c>
    </row>
    <row r="105" spans="7:12" x14ac:dyDescent="0.3">
      <c r="G105">
        <v>1705.43</v>
      </c>
      <c r="H105" t="str">
        <v>Top Order</v>
      </c>
      <c r="K105" t="str">
        <v>Table Model-213</v>
      </c>
      <c r="L105">
        <v>-38.93</v>
      </c>
    </row>
    <row r="106" spans="7:12" x14ac:dyDescent="0.3">
      <c r="G106">
        <v>1426.42</v>
      </c>
      <c r="H106" t="str">
        <v>Top Order</v>
      </c>
      <c r="K106" t="str">
        <v>Table Model-147</v>
      </c>
      <c r="L106">
        <v>150.41999999999999</v>
      </c>
    </row>
    <row r="107" spans="7:12" x14ac:dyDescent="0.3">
      <c r="G107">
        <v>1168.52</v>
      </c>
      <c r="H107" t="str">
        <v>Top Order</v>
      </c>
      <c r="K107" t="str">
        <v>Pen Model-937</v>
      </c>
      <c r="L107">
        <v>71.62</v>
      </c>
    </row>
    <row r="108" spans="7:12" x14ac:dyDescent="0.3">
      <c r="G108">
        <v>489.5</v>
      </c>
      <c r="H108" t="str">
        <v>Moderate</v>
      </c>
      <c r="K108" t="str">
        <v>Chair Model-768</v>
      </c>
      <c r="L108">
        <v>-15.09</v>
      </c>
    </row>
    <row r="109" spans="7:12" x14ac:dyDescent="0.3">
      <c r="G109">
        <v>1647.24</v>
      </c>
      <c r="H109" t="str">
        <v>Top Order</v>
      </c>
      <c r="K109" t="str">
        <v>Phone Model-229</v>
      </c>
      <c r="L109">
        <v>78.489999999999995</v>
      </c>
    </row>
    <row r="110" spans="7:12" x14ac:dyDescent="0.3">
      <c r="G110">
        <v>746.29</v>
      </c>
      <c r="H110" t="str">
        <v>Moderate</v>
      </c>
      <c r="K110" t="str">
        <v>Chair Model-658</v>
      </c>
      <c r="L110">
        <v>-81.36</v>
      </c>
    </row>
    <row r="111" spans="7:12" x14ac:dyDescent="0.3">
      <c r="G111">
        <v>90.76</v>
      </c>
      <c r="H111" t="str">
        <v>Low Order</v>
      </c>
      <c r="K111" t="str">
        <v>Bookcase Model-237</v>
      </c>
      <c r="L111">
        <v>225.67</v>
      </c>
    </row>
    <row r="112" spans="7:12" x14ac:dyDescent="0.3">
      <c r="G112">
        <v>1141.68</v>
      </c>
      <c r="H112" t="str">
        <v>Top Order</v>
      </c>
      <c r="K112" t="str">
        <v>Table Model-529</v>
      </c>
      <c r="L112">
        <v>114.08</v>
      </c>
    </row>
    <row r="113" spans="7:12" x14ac:dyDescent="0.3">
      <c r="G113">
        <v>80.27</v>
      </c>
      <c r="H113" t="str">
        <v>Low Order</v>
      </c>
      <c r="K113" t="str">
        <v>Phone Model-591</v>
      </c>
      <c r="L113">
        <v>62.1</v>
      </c>
    </row>
    <row r="114" spans="7:12" x14ac:dyDescent="0.3">
      <c r="G114">
        <v>1626.31</v>
      </c>
      <c r="H114" t="str">
        <v>Top Order</v>
      </c>
      <c r="K114" t="str">
        <v>Paper Model-816</v>
      </c>
      <c r="L114">
        <v>-84.18</v>
      </c>
    </row>
    <row r="115" spans="7:12" x14ac:dyDescent="0.3">
      <c r="G115">
        <v>207.11</v>
      </c>
      <c r="H115" t="str">
        <v>Low Order</v>
      </c>
      <c r="K115" t="str">
        <v>Paper Model-706</v>
      </c>
      <c r="L115">
        <v>3.08</v>
      </c>
    </row>
    <row r="116" spans="7:12" x14ac:dyDescent="0.3">
      <c r="G116">
        <v>587.46</v>
      </c>
      <c r="H116" t="str">
        <v>Moderate</v>
      </c>
      <c r="K116" t="str">
        <v>Pen Model-180</v>
      </c>
      <c r="L116">
        <v>197.67</v>
      </c>
    </row>
    <row r="117" spans="7:12" x14ac:dyDescent="0.3">
      <c r="G117">
        <v>356.11</v>
      </c>
      <c r="H117" t="str">
        <v>Low Order</v>
      </c>
      <c r="K117" t="str">
        <v>Stapler Model-277</v>
      </c>
      <c r="L117">
        <v>86.8</v>
      </c>
    </row>
    <row r="118" spans="7:12" x14ac:dyDescent="0.3">
      <c r="G118">
        <v>1969.98</v>
      </c>
      <c r="H118" t="str">
        <v>Top Order</v>
      </c>
      <c r="K118" t="str">
        <v>Printer Model-618</v>
      </c>
      <c r="L118">
        <v>27.56</v>
      </c>
    </row>
    <row r="119" spans="7:12" x14ac:dyDescent="0.3">
      <c r="G119">
        <v>294.11</v>
      </c>
      <c r="H119" t="str">
        <v>Low Order</v>
      </c>
      <c r="K119" t="str">
        <v>Sofa Model-305</v>
      </c>
      <c r="L119">
        <v>-42.13</v>
      </c>
    </row>
    <row r="120" spans="7:12" x14ac:dyDescent="0.3">
      <c r="G120">
        <v>1548.45</v>
      </c>
      <c r="H120" t="str">
        <v>Top Order</v>
      </c>
      <c r="K120" t="str">
        <v>Pen Model-802</v>
      </c>
      <c r="L120">
        <v>94.45</v>
      </c>
    </row>
    <row r="121" spans="7:12" x14ac:dyDescent="0.3">
      <c r="G121">
        <v>407.98</v>
      </c>
      <c r="H121" t="str">
        <v>Moderate</v>
      </c>
      <c r="K121" t="str">
        <v>Phone Model-578</v>
      </c>
      <c r="L121">
        <v>-69.63</v>
      </c>
    </row>
    <row r="122" spans="7:12" x14ac:dyDescent="0.3">
      <c r="G122">
        <v>853.64</v>
      </c>
      <c r="H122" t="str">
        <v>Top Order</v>
      </c>
      <c r="K122" t="str">
        <v>Pen Model-141</v>
      </c>
      <c r="L122">
        <v>67.47</v>
      </c>
    </row>
    <row r="123" spans="7:12" x14ac:dyDescent="0.3">
      <c r="G123">
        <v>596.01</v>
      </c>
      <c r="H123" t="str">
        <v>Moderate</v>
      </c>
      <c r="K123" t="str">
        <v>Paper Model-922</v>
      </c>
      <c r="L123">
        <v>-102.16</v>
      </c>
    </row>
    <row r="124" spans="7:12" x14ac:dyDescent="0.3">
      <c r="G124">
        <v>201.04</v>
      </c>
      <c r="H124" t="str">
        <v>Low Order</v>
      </c>
      <c r="K124" t="str">
        <v>Laptop Model-141</v>
      </c>
      <c r="L124">
        <v>42.22</v>
      </c>
    </row>
    <row r="125" spans="7:12" x14ac:dyDescent="0.3">
      <c r="G125">
        <v>646.19000000000005</v>
      </c>
      <c r="H125" t="str">
        <v>Moderate</v>
      </c>
      <c r="K125" t="str">
        <v>Stapler Model-773</v>
      </c>
      <c r="L125">
        <v>115.91</v>
      </c>
    </row>
    <row r="126" spans="7:12" x14ac:dyDescent="0.3">
      <c r="G126">
        <v>1567.59</v>
      </c>
      <c r="H126" t="str">
        <v>Top Order</v>
      </c>
      <c r="K126" t="str">
        <v>Sofa Model-911</v>
      </c>
      <c r="L126">
        <v>170.38</v>
      </c>
    </row>
    <row r="127" spans="7:12" x14ac:dyDescent="0.3">
      <c r="G127">
        <v>1280.1300000000001</v>
      </c>
      <c r="H127" t="str">
        <v>Top Order</v>
      </c>
      <c r="K127" t="str">
        <v>Pen Model-962</v>
      </c>
      <c r="L127">
        <v>68.09</v>
      </c>
    </row>
    <row r="128" spans="7:12" x14ac:dyDescent="0.3">
      <c r="G128">
        <v>1064.8</v>
      </c>
      <c r="H128" t="str">
        <v>Top Order</v>
      </c>
      <c r="K128" t="str">
        <v>Table Model-736</v>
      </c>
      <c r="L128">
        <v>25.92</v>
      </c>
    </row>
    <row r="129" spans="7:12" x14ac:dyDescent="0.3">
      <c r="G129">
        <v>690.28</v>
      </c>
      <c r="H129" t="str">
        <v>Moderate</v>
      </c>
      <c r="K129" t="str">
        <v>Stapler Model-610</v>
      </c>
      <c r="L129">
        <v>52.74</v>
      </c>
    </row>
    <row r="130" spans="7:12" x14ac:dyDescent="0.3">
      <c r="G130">
        <v>1447.92</v>
      </c>
      <c r="H130" t="str">
        <v>Top Order</v>
      </c>
      <c r="K130" t="str">
        <v>Printer Model-858</v>
      </c>
      <c r="L130">
        <v>49.21</v>
      </c>
    </row>
    <row r="131" spans="7:12" x14ac:dyDescent="0.3">
      <c r="G131">
        <v>474.78</v>
      </c>
      <c r="H131" t="str">
        <v>Moderate</v>
      </c>
      <c r="K131" t="str">
        <v>Phone Model-788</v>
      </c>
      <c r="L131">
        <v>223.63</v>
      </c>
    </row>
    <row r="132" spans="7:12" x14ac:dyDescent="0.3">
      <c r="G132">
        <v>1214.71</v>
      </c>
      <c r="H132" t="str">
        <v>Top Order</v>
      </c>
      <c r="K132" t="str">
        <v>Stapler Model-949</v>
      </c>
      <c r="L132">
        <v>83.14</v>
      </c>
    </row>
    <row r="133" spans="7:12" x14ac:dyDescent="0.3">
      <c r="G133">
        <v>1243.8</v>
      </c>
      <c r="H133" t="str">
        <v>Top Order</v>
      </c>
      <c r="K133" t="str">
        <v>Bookcase Model-356</v>
      </c>
      <c r="L133">
        <v>241</v>
      </c>
    </row>
    <row r="134" spans="7:12" x14ac:dyDescent="0.3">
      <c r="G134">
        <v>100.57</v>
      </c>
      <c r="H134" t="str">
        <v>Low Order</v>
      </c>
      <c r="K134" t="str">
        <v>Binder Model-830</v>
      </c>
      <c r="L134">
        <v>-4.68</v>
      </c>
    </row>
    <row r="135" spans="7:12" x14ac:dyDescent="0.3">
      <c r="G135">
        <v>1380.18</v>
      </c>
      <c r="H135" t="str">
        <v>Top Order</v>
      </c>
      <c r="K135" t="str">
        <v>Monitor Model-228</v>
      </c>
      <c r="L135">
        <v>183.86</v>
      </c>
    </row>
    <row r="136" spans="7:12" x14ac:dyDescent="0.3">
      <c r="G136">
        <v>104.99</v>
      </c>
      <c r="H136" t="str">
        <v>Low Order</v>
      </c>
      <c r="K136" t="str">
        <v>Phone Model-919</v>
      </c>
      <c r="L136">
        <v>519.94000000000005</v>
      </c>
    </row>
    <row r="137" spans="7:12" x14ac:dyDescent="0.3">
      <c r="G137">
        <v>1484.02</v>
      </c>
      <c r="H137" t="str">
        <v>Top Order</v>
      </c>
      <c r="K137" t="str">
        <v>Printer Model-558</v>
      </c>
      <c r="L137">
        <v>278.20999999999998</v>
      </c>
    </row>
    <row r="138" spans="7:12" x14ac:dyDescent="0.3">
      <c r="G138">
        <v>454.44</v>
      </c>
      <c r="H138" t="str">
        <v>Moderate</v>
      </c>
      <c r="K138" t="str">
        <v>Binder Model-869</v>
      </c>
      <c r="L138">
        <v>34.53</v>
      </c>
    </row>
    <row r="139" spans="7:12" x14ac:dyDescent="0.3">
      <c r="G139">
        <v>1323.68</v>
      </c>
      <c r="H139" t="str">
        <v>Top Order</v>
      </c>
      <c r="K139" t="str">
        <v>Stapler Model-312</v>
      </c>
      <c r="L139">
        <v>-43.89</v>
      </c>
    </row>
    <row r="140" spans="7:12" x14ac:dyDescent="0.3">
      <c r="G140">
        <v>1451.61</v>
      </c>
      <c r="H140" t="str">
        <v>Top Order</v>
      </c>
      <c r="K140" t="str">
        <v>Phone Model-315</v>
      </c>
      <c r="L140">
        <v>65.459999999999994</v>
      </c>
    </row>
    <row r="141" spans="7:12" x14ac:dyDescent="0.3">
      <c r="G141">
        <v>78.430000000000007</v>
      </c>
      <c r="H141" t="str">
        <v>Low Order</v>
      </c>
      <c r="K141" t="str">
        <v>Binder Model-464</v>
      </c>
      <c r="L141">
        <v>-47.16</v>
      </c>
    </row>
    <row r="142" spans="7:12" x14ac:dyDescent="0.3">
      <c r="G142">
        <v>1362.52</v>
      </c>
      <c r="H142" t="str">
        <v>Top Order</v>
      </c>
      <c r="K142" t="str">
        <v>Bookcase Model-852</v>
      </c>
      <c r="L142">
        <v>138.87</v>
      </c>
    </row>
    <row r="143" spans="7:12" x14ac:dyDescent="0.3">
      <c r="G143">
        <v>229.58</v>
      </c>
      <c r="H143" t="str">
        <v>Low Order</v>
      </c>
      <c r="K143" t="str">
        <v>Chair Model-795</v>
      </c>
      <c r="L143">
        <v>393.14</v>
      </c>
    </row>
    <row r="144" spans="7:12" x14ac:dyDescent="0.3">
      <c r="G144">
        <v>1351.04</v>
      </c>
      <c r="H144" t="str">
        <v>Top Order</v>
      </c>
      <c r="K144" t="str">
        <v>Bookcase Model-802</v>
      </c>
      <c r="L144">
        <v>15.36</v>
      </c>
    </row>
    <row r="145" spans="7:12" x14ac:dyDescent="0.3">
      <c r="G145">
        <v>894.81</v>
      </c>
      <c r="H145" t="str">
        <v>Top Order</v>
      </c>
      <c r="K145" t="str">
        <v>Paper Model-976</v>
      </c>
      <c r="L145">
        <v>23.299999999999997</v>
      </c>
    </row>
    <row r="146" spans="7:12" x14ac:dyDescent="0.3">
      <c r="G146">
        <v>371.99</v>
      </c>
      <c r="H146" t="str">
        <v>Low Order</v>
      </c>
      <c r="K146" t="str">
        <v>Monitor Model-233</v>
      </c>
      <c r="L146">
        <v>33.159999999999997</v>
      </c>
    </row>
    <row r="147" spans="7:12" x14ac:dyDescent="0.3">
      <c r="G147">
        <v>259.27</v>
      </c>
      <c r="H147" t="str">
        <v>Low Order</v>
      </c>
      <c r="K147" t="str">
        <v>Stapler Model-921</v>
      </c>
      <c r="L147">
        <v>184.2</v>
      </c>
    </row>
    <row r="148" spans="7:12" x14ac:dyDescent="0.3">
      <c r="G148">
        <v>1758.46</v>
      </c>
      <c r="H148" t="str">
        <v>Top Order</v>
      </c>
      <c r="K148" t="str">
        <v>Paper Model-356</v>
      </c>
      <c r="L148">
        <v>-30.34</v>
      </c>
    </row>
    <row r="149" spans="7:12" x14ac:dyDescent="0.3">
      <c r="G149">
        <v>973.14</v>
      </c>
      <c r="H149" t="str">
        <v>Top Order</v>
      </c>
      <c r="K149" t="str">
        <v>Binder Model-317</v>
      </c>
      <c r="L149">
        <v>12.87</v>
      </c>
    </row>
    <row r="150" spans="7:12" x14ac:dyDescent="0.3">
      <c r="G150">
        <v>1394.07</v>
      </c>
      <c r="H150" t="str">
        <v>Top Order</v>
      </c>
      <c r="K150" t="str">
        <v>Chair Model-825</v>
      </c>
      <c r="L150">
        <v>21.07</v>
      </c>
    </row>
    <row r="151" spans="7:12" x14ac:dyDescent="0.3">
      <c r="G151">
        <v>1573.08</v>
      </c>
      <c r="H151" t="str">
        <v>Top Order</v>
      </c>
      <c r="K151" t="str">
        <v>Phone Model-416</v>
      </c>
      <c r="L151">
        <v>79.59</v>
      </c>
    </row>
    <row r="152" spans="7:12" x14ac:dyDescent="0.3">
      <c r="G152">
        <v>1607.62</v>
      </c>
      <c r="H152" t="str">
        <v>Top Order</v>
      </c>
      <c r="K152" t="str">
        <v>Sofa Model-477</v>
      </c>
      <c r="L152">
        <v>200.69</v>
      </c>
    </row>
    <row r="153" spans="7:12" x14ac:dyDescent="0.3">
      <c r="G153">
        <v>710.44</v>
      </c>
      <c r="H153" t="str">
        <v>Moderate</v>
      </c>
      <c r="K153" t="str">
        <v>Sofa Model-988</v>
      </c>
      <c r="L153">
        <v>14.72</v>
      </c>
    </row>
    <row r="154" spans="7:12" x14ac:dyDescent="0.3">
      <c r="G154">
        <v>143.88999999999999</v>
      </c>
      <c r="H154" t="str">
        <v>Low Order</v>
      </c>
      <c r="K154" t="str">
        <v>Phone Model-513</v>
      </c>
      <c r="L154">
        <v>13.05</v>
      </c>
    </row>
    <row r="155" spans="7:12" x14ac:dyDescent="0.3">
      <c r="G155">
        <v>1943.58</v>
      </c>
      <c r="H155" t="str">
        <v>Top Order</v>
      </c>
      <c r="K155" t="str">
        <v>Sofa Model-496</v>
      </c>
      <c r="L155">
        <v>29.84</v>
      </c>
    </row>
    <row r="156" spans="7:12" x14ac:dyDescent="0.3">
      <c r="G156">
        <v>1340.05</v>
      </c>
      <c r="H156" t="str">
        <v>Top Order</v>
      </c>
      <c r="K156" t="str">
        <v>Sofa Model-973</v>
      </c>
      <c r="L156">
        <v>-11.79</v>
      </c>
    </row>
    <row r="157" spans="7:12" x14ac:dyDescent="0.3">
      <c r="G157">
        <v>975</v>
      </c>
      <c r="H157" t="str">
        <v>Top Order</v>
      </c>
      <c r="K157" t="str">
        <v>Printer Model-287</v>
      </c>
      <c r="L157">
        <v>227.28</v>
      </c>
    </row>
    <row r="158" spans="7:12" x14ac:dyDescent="0.3">
      <c r="G158">
        <v>1276.9100000000001</v>
      </c>
      <c r="H158" t="str">
        <v>Top Order</v>
      </c>
      <c r="K158" t="str">
        <v>Bookcase Model-201</v>
      </c>
      <c r="L158">
        <v>1.19</v>
      </c>
    </row>
    <row r="159" spans="7:12" x14ac:dyDescent="0.3">
      <c r="G159">
        <v>1907.42</v>
      </c>
      <c r="H159" t="str">
        <v>Top Order</v>
      </c>
      <c r="K159" t="str">
        <v>Stapler Model-986</v>
      </c>
      <c r="L159">
        <v>0.73</v>
      </c>
    </row>
    <row r="160" spans="7:12" x14ac:dyDescent="0.3">
      <c r="G160">
        <v>753.64</v>
      </c>
      <c r="H160" t="str">
        <v>Moderate</v>
      </c>
      <c r="K160" t="str">
        <v>Paper Model-958</v>
      </c>
      <c r="L160">
        <v>302.2</v>
      </c>
    </row>
    <row r="161" spans="7:12" x14ac:dyDescent="0.3">
      <c r="G161">
        <v>1301.17</v>
      </c>
      <c r="H161" t="str">
        <v>Top Order</v>
      </c>
      <c r="K161" t="str">
        <v>Table Model-276</v>
      </c>
      <c r="L161">
        <v>65.09</v>
      </c>
    </row>
    <row r="162" spans="7:12" x14ac:dyDescent="0.3">
      <c r="G162">
        <v>1556.69</v>
      </c>
      <c r="H162" t="str">
        <v>Top Order</v>
      </c>
      <c r="K162" t="str">
        <v>Laptop Model-814</v>
      </c>
      <c r="L162">
        <v>163.02000000000001</v>
      </c>
    </row>
    <row r="163" spans="7:12" x14ac:dyDescent="0.3">
      <c r="G163">
        <v>1649.39</v>
      </c>
      <c r="H163" t="str">
        <v>Top Order</v>
      </c>
      <c r="K163" t="str">
        <v>Binder Model-177</v>
      </c>
      <c r="L163">
        <v>-7.38</v>
      </c>
    </row>
    <row r="164" spans="7:12" x14ac:dyDescent="0.3">
      <c r="G164">
        <v>52.02</v>
      </c>
      <c r="H164" t="str">
        <v>Low Order</v>
      </c>
      <c r="K164" t="str">
        <v>Bookcase Model-614</v>
      </c>
      <c r="L164">
        <v>180</v>
      </c>
    </row>
    <row r="165" spans="7:12" x14ac:dyDescent="0.3">
      <c r="G165">
        <v>742.86</v>
      </c>
      <c r="H165" t="str">
        <v>Moderate</v>
      </c>
      <c r="K165" t="str">
        <v>Bookcase Model-891</v>
      </c>
      <c r="L165">
        <v>-12.02</v>
      </c>
    </row>
    <row r="166" spans="7:12" x14ac:dyDescent="0.3">
      <c r="G166">
        <v>1131.44</v>
      </c>
      <c r="H166" t="str">
        <v>Top Order</v>
      </c>
      <c r="K166" t="str">
        <v>Pen Model-710</v>
      </c>
      <c r="L166">
        <v>24.23</v>
      </c>
    </row>
    <row r="167" spans="7:12" x14ac:dyDescent="0.3">
      <c r="G167">
        <v>510.57</v>
      </c>
      <c r="H167" t="str">
        <v>Moderate</v>
      </c>
      <c r="K167" t="str">
        <v>Printer Model-940</v>
      </c>
      <c r="L167">
        <v>185.1</v>
      </c>
    </row>
    <row r="168" spans="7:12" x14ac:dyDescent="0.3">
      <c r="G168">
        <v>1501.53</v>
      </c>
      <c r="H168" t="str">
        <v>Top Order</v>
      </c>
      <c r="K168" t="str">
        <v>Paper Model-291</v>
      </c>
      <c r="L168">
        <v>-30.98</v>
      </c>
    </row>
    <row r="169" spans="7:12" x14ac:dyDescent="0.3">
      <c r="G169">
        <v>415.9</v>
      </c>
      <c r="H169" t="str">
        <v>Moderate</v>
      </c>
      <c r="K169" t="str">
        <v>Sofa Model-531</v>
      </c>
      <c r="L169">
        <v>-1.06</v>
      </c>
    </row>
    <row r="170" spans="7:12" x14ac:dyDescent="0.3">
      <c r="G170">
        <v>593.21</v>
      </c>
      <c r="H170" t="str">
        <v>Moderate</v>
      </c>
      <c r="K170" t="str">
        <v>Stapler Model-731</v>
      </c>
      <c r="L170">
        <v>-62.86</v>
      </c>
    </row>
    <row r="171" spans="7:12" x14ac:dyDescent="0.3">
      <c r="G171">
        <v>1520.62</v>
      </c>
      <c r="H171" t="str">
        <v>Top Order</v>
      </c>
      <c r="K171" t="str">
        <v>Binder Model-495</v>
      </c>
      <c r="L171">
        <v>171.48</v>
      </c>
    </row>
    <row r="172" spans="7:12" x14ac:dyDescent="0.3">
      <c r="G172">
        <v>349.43</v>
      </c>
      <c r="H172" t="str">
        <v>Low Order</v>
      </c>
      <c r="K172" t="str">
        <v>Chair Model-955</v>
      </c>
      <c r="L172">
        <v>43.38</v>
      </c>
    </row>
    <row r="173" spans="7:12" x14ac:dyDescent="0.3">
      <c r="G173">
        <v>253.75</v>
      </c>
      <c r="H173" t="str">
        <v>Low Order</v>
      </c>
      <c r="K173" t="str">
        <v>Pen Model-464</v>
      </c>
      <c r="L173">
        <v>38.69</v>
      </c>
    </row>
    <row r="174" spans="7:12" x14ac:dyDescent="0.3">
      <c r="G174">
        <v>1027.49</v>
      </c>
      <c r="H174" t="str">
        <v>Top Order</v>
      </c>
      <c r="K174" t="str">
        <v>Table Model-715</v>
      </c>
      <c r="L174">
        <v>27.12</v>
      </c>
    </row>
    <row r="175" spans="7:12" x14ac:dyDescent="0.3">
      <c r="G175">
        <v>1077.19</v>
      </c>
      <c r="H175" t="str">
        <v>Top Order</v>
      </c>
      <c r="K175" t="str">
        <v>Table Model-336</v>
      </c>
      <c r="L175">
        <v>99.23</v>
      </c>
    </row>
    <row r="176" spans="7:12" x14ac:dyDescent="0.3">
      <c r="G176">
        <v>517.33000000000004</v>
      </c>
      <c r="H176" t="str">
        <v>Moderate</v>
      </c>
      <c r="K176" t="str">
        <v>Laptop Model-195</v>
      </c>
      <c r="L176">
        <v>169.63</v>
      </c>
    </row>
    <row r="177" spans="7:12" x14ac:dyDescent="0.3">
      <c r="G177">
        <v>1441.11</v>
      </c>
      <c r="H177" t="str">
        <v>Top Order</v>
      </c>
      <c r="K177" t="str">
        <v>Laptop Model-784</v>
      </c>
      <c r="L177">
        <v>87.34</v>
      </c>
    </row>
    <row r="178" spans="7:12" x14ac:dyDescent="0.3">
      <c r="G178">
        <v>552.91999999999996</v>
      </c>
      <c r="H178" t="str">
        <v>Moderate</v>
      </c>
      <c r="K178" t="str">
        <v>Bookcase Model-556</v>
      </c>
      <c r="L178">
        <v>1.86</v>
      </c>
    </row>
    <row r="179" spans="7:12" x14ac:dyDescent="0.3">
      <c r="G179">
        <v>953.89</v>
      </c>
      <c r="H179" t="str">
        <v>Top Order</v>
      </c>
      <c r="K179" t="str">
        <v>Chair Model-947</v>
      </c>
      <c r="L179">
        <v>-36.76</v>
      </c>
    </row>
    <row r="180" spans="7:12" x14ac:dyDescent="0.3">
      <c r="G180">
        <v>1350.42</v>
      </c>
      <c r="H180" t="str">
        <v>Top Order</v>
      </c>
      <c r="K180" t="str">
        <v>Binder Model-790</v>
      </c>
      <c r="L180">
        <v>-9.07</v>
      </c>
    </row>
    <row r="181" spans="7:12" x14ac:dyDescent="0.3">
      <c r="G181">
        <v>328.19</v>
      </c>
      <c r="H181" t="str">
        <v>Low Order</v>
      </c>
      <c r="K181" t="str">
        <v>Chair Model-129</v>
      </c>
      <c r="L181">
        <v>10.09</v>
      </c>
    </row>
    <row r="182" spans="7:12" x14ac:dyDescent="0.3">
      <c r="G182">
        <v>1293.1099999999999</v>
      </c>
      <c r="H182" t="str">
        <v>Top Order</v>
      </c>
      <c r="K182" t="str">
        <v>Table Model-745</v>
      </c>
      <c r="L182">
        <v>-11.35</v>
      </c>
    </row>
    <row r="183" spans="7:12" x14ac:dyDescent="0.3">
      <c r="G183">
        <v>1179.01</v>
      </c>
      <c r="H183" t="str">
        <v>Top Order</v>
      </c>
      <c r="K183" t="str">
        <v>Pen Model-942</v>
      </c>
      <c r="L183">
        <v>123.94999999999999</v>
      </c>
    </row>
    <row r="184" spans="7:12" x14ac:dyDescent="0.3">
      <c r="G184">
        <v>525.74</v>
      </c>
      <c r="H184" t="str">
        <v>Moderate</v>
      </c>
      <c r="K184" t="str">
        <v>Pen Model-533</v>
      </c>
      <c r="L184">
        <v>258.14999999999998</v>
      </c>
    </row>
    <row r="185" spans="7:12" x14ac:dyDescent="0.3">
      <c r="G185">
        <v>1328.16</v>
      </c>
      <c r="H185" t="str">
        <v>Top Order</v>
      </c>
      <c r="K185" t="str">
        <v>Sofa Model-648</v>
      </c>
      <c r="L185">
        <v>-157.83000000000001</v>
      </c>
    </row>
    <row r="186" spans="7:12" x14ac:dyDescent="0.3">
      <c r="G186">
        <v>386.19</v>
      </c>
      <c r="H186" t="str">
        <v>Low Order</v>
      </c>
      <c r="K186" t="str">
        <v>Sofa Model-858</v>
      </c>
      <c r="L186">
        <v>87.51</v>
      </c>
    </row>
    <row r="187" spans="7:12" x14ac:dyDescent="0.3">
      <c r="G187">
        <v>852.67</v>
      </c>
      <c r="H187" t="str">
        <v>Top Order</v>
      </c>
      <c r="K187" t="str">
        <v>Laptop Model-626</v>
      </c>
      <c r="L187">
        <v>-39.03</v>
      </c>
    </row>
    <row r="188" spans="7:12" x14ac:dyDescent="0.3">
      <c r="G188">
        <v>1383.93</v>
      </c>
      <c r="H188" t="str">
        <v>Top Order</v>
      </c>
      <c r="K188" t="str">
        <v>Phone Model-690</v>
      </c>
      <c r="L188">
        <v>11.89</v>
      </c>
    </row>
    <row r="189" spans="7:12" x14ac:dyDescent="0.3">
      <c r="G189">
        <v>1217.97</v>
      </c>
      <c r="H189" t="str">
        <v>Top Order</v>
      </c>
      <c r="K189" t="str">
        <v>Printer Model-230</v>
      </c>
      <c r="L189">
        <v>86.96</v>
      </c>
    </row>
    <row r="190" spans="7:12" x14ac:dyDescent="0.3">
      <c r="G190">
        <v>640.57000000000005</v>
      </c>
      <c r="H190" t="str">
        <v>Moderate</v>
      </c>
      <c r="K190" t="str">
        <v>Binder Model-856</v>
      </c>
      <c r="L190">
        <v>159.84</v>
      </c>
    </row>
    <row r="191" spans="7:12" x14ac:dyDescent="0.3">
      <c r="G191">
        <v>1996</v>
      </c>
      <c r="H191" t="str">
        <v>Top Order</v>
      </c>
      <c r="K191" t="str">
        <v>Sofa Model-235</v>
      </c>
      <c r="L191">
        <v>-50.89</v>
      </c>
    </row>
    <row r="192" spans="7:12" x14ac:dyDescent="0.3">
      <c r="G192">
        <v>529.95000000000005</v>
      </c>
      <c r="H192" t="str">
        <v>Moderate</v>
      </c>
      <c r="K192" t="str">
        <v>Sofa Model-121</v>
      </c>
      <c r="L192">
        <v>-3.61</v>
      </c>
    </row>
    <row r="193" spans="7:12" x14ac:dyDescent="0.3">
      <c r="G193">
        <v>361.92</v>
      </c>
      <c r="H193" t="str">
        <v>Low Order</v>
      </c>
      <c r="K193" t="str">
        <v>Bookcase Model-785</v>
      </c>
      <c r="L193">
        <v>66.47</v>
      </c>
    </row>
    <row r="194" spans="7:12" x14ac:dyDescent="0.3">
      <c r="G194">
        <v>398.19</v>
      </c>
      <c r="H194" t="str">
        <v>Low Order</v>
      </c>
      <c r="K194" t="str">
        <v>Pen Model-514</v>
      </c>
      <c r="L194">
        <v>7.7</v>
      </c>
    </row>
    <row r="195" spans="7:12" x14ac:dyDescent="0.3">
      <c r="G195">
        <v>1306.75</v>
      </c>
      <c r="H195" t="str">
        <v>Top Order</v>
      </c>
      <c r="K195" t="str">
        <v>Laptop Model-321</v>
      </c>
      <c r="L195">
        <v>35.81</v>
      </c>
    </row>
    <row r="196" spans="7:12" x14ac:dyDescent="0.3">
      <c r="K196" t="str">
        <v>Table Model-388</v>
      </c>
      <c r="L196">
        <v>-28.33</v>
      </c>
    </row>
    <row r="197" spans="7:12" x14ac:dyDescent="0.3">
      <c r="K197" t="str">
        <v>Printer Model-839</v>
      </c>
      <c r="L197">
        <v>20.22</v>
      </c>
    </row>
    <row r="198" spans="7:12" x14ac:dyDescent="0.3">
      <c r="K198" t="str">
        <v>Binder Model-469</v>
      </c>
      <c r="L198">
        <v>12.9</v>
      </c>
    </row>
    <row r="199" spans="7:12" x14ac:dyDescent="0.3">
      <c r="K199" t="str">
        <v>Phone Model-246</v>
      </c>
      <c r="L199">
        <v>8.11</v>
      </c>
    </row>
    <row r="200" spans="7:12" x14ac:dyDescent="0.3">
      <c r="K200" t="str">
        <v>Phone Model-753</v>
      </c>
      <c r="L200">
        <v>23.74</v>
      </c>
    </row>
    <row r="201" spans="7:12" x14ac:dyDescent="0.3">
      <c r="K201" t="str">
        <v>Chair Model-654</v>
      </c>
      <c r="L201">
        <v>-55.28</v>
      </c>
    </row>
    <row r="202" spans="7:12" x14ac:dyDescent="0.3">
      <c r="K202" t="str">
        <v>Laptop Model-608</v>
      </c>
      <c r="L202">
        <v>61.58</v>
      </c>
    </row>
    <row r="203" spans="7:12" x14ac:dyDescent="0.3">
      <c r="K203" t="str">
        <v>Bookcase Model-721</v>
      </c>
      <c r="L203">
        <v>40.29</v>
      </c>
    </row>
    <row r="204" spans="7:12" x14ac:dyDescent="0.3">
      <c r="K204" t="str">
        <v>Paper Model-273</v>
      </c>
      <c r="L204">
        <v>116.04</v>
      </c>
    </row>
    <row r="205" spans="7:12" x14ac:dyDescent="0.3">
      <c r="K205" t="str">
        <v>Pen Model-652</v>
      </c>
      <c r="L205">
        <v>-11.37</v>
      </c>
    </row>
    <row r="206" spans="7:12" x14ac:dyDescent="0.3">
      <c r="K206" t="str">
        <v>Bookcase Model-335</v>
      </c>
      <c r="L206">
        <v>-30.58</v>
      </c>
    </row>
    <row r="207" spans="7:12" x14ac:dyDescent="0.3">
      <c r="K207" t="str">
        <v>Pen Model-587</v>
      </c>
      <c r="L207">
        <v>253.25</v>
      </c>
    </row>
    <row r="208" spans="7:12" x14ac:dyDescent="0.3">
      <c r="K208" t="str">
        <v>Table Model-604</v>
      </c>
      <c r="L208">
        <v>68.98</v>
      </c>
    </row>
    <row r="209" spans="11:12" x14ac:dyDescent="0.3">
      <c r="K209" t="str">
        <v>Stapler Model-243</v>
      </c>
      <c r="L209">
        <v>144.03</v>
      </c>
    </row>
    <row r="210" spans="11:12" x14ac:dyDescent="0.3">
      <c r="K210" t="str">
        <v>Chair Model-913</v>
      </c>
      <c r="L210">
        <v>212.95</v>
      </c>
    </row>
    <row r="211" spans="11:12" x14ac:dyDescent="0.3">
      <c r="K211" t="str">
        <v>Printer Model-894</v>
      </c>
      <c r="L211">
        <v>161.37</v>
      </c>
    </row>
    <row r="212" spans="11:12" x14ac:dyDescent="0.3">
      <c r="K212" t="str">
        <v>Sofa Model-486</v>
      </c>
      <c r="L212">
        <v>13.14</v>
      </c>
    </row>
    <row r="213" spans="11:12" x14ac:dyDescent="0.3">
      <c r="K213" t="str">
        <v>Stapler Model-299</v>
      </c>
      <c r="L213">
        <v>92.46</v>
      </c>
    </row>
    <row r="214" spans="11:12" x14ac:dyDescent="0.3">
      <c r="K214" t="str">
        <v>Monitor Model-569</v>
      </c>
      <c r="L214">
        <v>-52.86</v>
      </c>
    </row>
    <row r="215" spans="11:12" x14ac:dyDescent="0.3">
      <c r="K215" t="str">
        <v>Bookcase Model-839</v>
      </c>
      <c r="L215">
        <v>51.57</v>
      </c>
    </row>
    <row r="216" spans="11:12" x14ac:dyDescent="0.3">
      <c r="K216" t="str">
        <v>Bookcase Model-752</v>
      </c>
      <c r="L216">
        <v>-28.09</v>
      </c>
    </row>
    <row r="217" spans="11:12" x14ac:dyDescent="0.3">
      <c r="K217" t="str">
        <v>Binder Model-563</v>
      </c>
      <c r="L217">
        <v>39.130000000000003</v>
      </c>
    </row>
    <row r="218" spans="11:12" x14ac:dyDescent="0.3">
      <c r="K218" t="str">
        <v>Printer Model-559</v>
      </c>
      <c r="L218">
        <v>148.38999999999999</v>
      </c>
    </row>
    <row r="219" spans="11:12" x14ac:dyDescent="0.3">
      <c r="K219" t="str">
        <v>Laptop Model-120</v>
      </c>
      <c r="L219">
        <v>425.35</v>
      </c>
    </row>
    <row r="220" spans="11:12" x14ac:dyDescent="0.3">
      <c r="K220" t="str">
        <v>Binder Model-706</v>
      </c>
      <c r="L220">
        <v>30.42</v>
      </c>
    </row>
    <row r="221" spans="11:12" x14ac:dyDescent="0.3">
      <c r="K221" t="str">
        <v>Binder Model-668</v>
      </c>
      <c r="L221">
        <v>-20.99</v>
      </c>
    </row>
    <row r="222" spans="11:12" x14ac:dyDescent="0.3">
      <c r="K222" t="str">
        <v>Sofa Model-573</v>
      </c>
      <c r="L222">
        <v>-93.03</v>
      </c>
    </row>
    <row r="223" spans="11:12" x14ac:dyDescent="0.3">
      <c r="K223" t="str">
        <v>Pen Model-539</v>
      </c>
      <c r="L223">
        <v>-11.9</v>
      </c>
    </row>
    <row r="224" spans="11:12" x14ac:dyDescent="0.3">
      <c r="K224" t="str">
        <v>Laptop Model-708</v>
      </c>
      <c r="L224">
        <v>166.21</v>
      </c>
    </row>
    <row r="225" spans="11:12" x14ac:dyDescent="0.3">
      <c r="K225" t="str">
        <v>Monitor Model-949</v>
      </c>
      <c r="L225">
        <v>87.5</v>
      </c>
    </row>
    <row r="226" spans="11:12" x14ac:dyDescent="0.3">
      <c r="K226" t="str">
        <v>Phone Model-130</v>
      </c>
      <c r="L226">
        <v>-9.5299999999999994</v>
      </c>
    </row>
    <row r="227" spans="11:12" x14ac:dyDescent="0.3">
      <c r="K227" t="str">
        <v>Phone Model-437</v>
      </c>
      <c r="L227">
        <v>49.47</v>
      </c>
    </row>
    <row r="228" spans="11:12" x14ac:dyDescent="0.3">
      <c r="K228" t="str">
        <v>Laptop Model-316</v>
      </c>
      <c r="L228">
        <v>-19.43</v>
      </c>
    </row>
    <row r="229" spans="11:12" x14ac:dyDescent="0.3">
      <c r="K229" t="str">
        <v>Pen Model-801</v>
      </c>
      <c r="L229">
        <v>97.46</v>
      </c>
    </row>
    <row r="230" spans="11:12" x14ac:dyDescent="0.3">
      <c r="K230" t="str">
        <v>Table Model-683</v>
      </c>
      <c r="L230">
        <v>41.05</v>
      </c>
    </row>
    <row r="231" spans="11:12" x14ac:dyDescent="0.3">
      <c r="K231" t="str">
        <v>Chair Model-367</v>
      </c>
      <c r="L231">
        <v>6.48</v>
      </c>
    </row>
    <row r="232" spans="11:12" x14ac:dyDescent="0.3">
      <c r="K232" t="str">
        <v>Paper Model-913</v>
      </c>
      <c r="L232">
        <v>44.67</v>
      </c>
    </row>
    <row r="233" spans="11:12" x14ac:dyDescent="0.3">
      <c r="K233" t="str">
        <v>Pen Model-352</v>
      </c>
      <c r="L233">
        <v>7.77</v>
      </c>
    </row>
    <row r="234" spans="11:12" x14ac:dyDescent="0.3">
      <c r="K234" t="str">
        <v>Chair Model-310</v>
      </c>
      <c r="L234">
        <v>14.4</v>
      </c>
    </row>
    <row r="235" spans="11:12" x14ac:dyDescent="0.3">
      <c r="K235" t="str">
        <v>Bookcase Model-622</v>
      </c>
      <c r="L235">
        <v>34.14</v>
      </c>
    </row>
    <row r="236" spans="11:12" x14ac:dyDescent="0.3">
      <c r="K236" t="str">
        <v>Laptop Model-287</v>
      </c>
      <c r="L236">
        <v>50.79</v>
      </c>
    </row>
    <row r="237" spans="11:12" x14ac:dyDescent="0.3">
      <c r="K237" t="str">
        <v>Phone Model-908</v>
      </c>
      <c r="L237">
        <v>-8.41</v>
      </c>
    </row>
    <row r="238" spans="11:12" x14ac:dyDescent="0.3">
      <c r="K238" t="str">
        <v>Pen Model-754</v>
      </c>
      <c r="L238">
        <v>23.35</v>
      </c>
    </row>
    <row r="239" spans="11:12" x14ac:dyDescent="0.3">
      <c r="K239" t="str">
        <v>Bookcase Model-649</v>
      </c>
      <c r="L239">
        <v>155.83000000000001</v>
      </c>
    </row>
    <row r="240" spans="11:12" x14ac:dyDescent="0.3">
      <c r="K240" t="str">
        <v>Pen Model-657</v>
      </c>
      <c r="L240">
        <v>74.61</v>
      </c>
    </row>
    <row r="241" spans="11:12" x14ac:dyDescent="0.3">
      <c r="K241" t="str">
        <v>Phone Model-664</v>
      </c>
      <c r="L241">
        <v>-26.17</v>
      </c>
    </row>
    <row r="242" spans="11:12" x14ac:dyDescent="0.3">
      <c r="K242" t="str">
        <v>Table Model-579</v>
      </c>
      <c r="L242">
        <v>203.03</v>
      </c>
    </row>
    <row r="243" spans="11:12" x14ac:dyDescent="0.3">
      <c r="K243" t="str">
        <v>Pen Model-268</v>
      </c>
      <c r="L243">
        <v>22.15</v>
      </c>
    </row>
    <row r="244" spans="11:12" x14ac:dyDescent="0.3">
      <c r="K244" t="str">
        <v>Monitor Model-975</v>
      </c>
      <c r="L244">
        <v>210.80999999999997</v>
      </c>
    </row>
    <row r="245" spans="11:12" x14ac:dyDescent="0.3">
      <c r="K245" t="str">
        <v>Phone Model-669</v>
      </c>
      <c r="L245">
        <v>3.67</v>
      </c>
    </row>
    <row r="246" spans="11:12" x14ac:dyDescent="0.3">
      <c r="K246" t="str">
        <v>Bookcase Model-750</v>
      </c>
      <c r="L246">
        <v>225.95</v>
      </c>
    </row>
    <row r="247" spans="11:12" x14ac:dyDescent="0.3">
      <c r="K247" t="str">
        <v>Stapler Model-997</v>
      </c>
      <c r="L247">
        <v>-8.0399999999999991</v>
      </c>
    </row>
    <row r="248" spans="11:12" x14ac:dyDescent="0.3">
      <c r="K248" t="str">
        <v>Pen Model-171</v>
      </c>
      <c r="L248">
        <v>254.89</v>
      </c>
    </row>
    <row r="249" spans="11:12" x14ac:dyDescent="0.3">
      <c r="K249" t="str">
        <v>Monitor Model-330</v>
      </c>
      <c r="L249">
        <v>97.57</v>
      </c>
    </row>
    <row r="250" spans="11:12" x14ac:dyDescent="0.3">
      <c r="K250" t="str">
        <v>Chair Model-176</v>
      </c>
      <c r="L250">
        <v>52.21</v>
      </c>
    </row>
    <row r="251" spans="11:12" x14ac:dyDescent="0.3">
      <c r="K251" t="str">
        <v>Monitor Model-197</v>
      </c>
      <c r="L251">
        <v>-18.79</v>
      </c>
    </row>
    <row r="252" spans="11:12" x14ac:dyDescent="0.3">
      <c r="K252" t="str">
        <v>Paper Model-753</v>
      </c>
      <c r="L252">
        <v>-137.19</v>
      </c>
    </row>
    <row r="253" spans="11:12" x14ac:dyDescent="0.3">
      <c r="K253" t="str">
        <v>Chair Model-848</v>
      </c>
      <c r="L253">
        <v>-31.15</v>
      </c>
    </row>
    <row r="254" spans="11:12" x14ac:dyDescent="0.3">
      <c r="K254" t="str">
        <v>Pen Model-697</v>
      </c>
      <c r="L254">
        <v>270.57</v>
      </c>
    </row>
    <row r="255" spans="11:12" x14ac:dyDescent="0.3">
      <c r="K255" t="str">
        <v>Table Model-448</v>
      </c>
      <c r="L255">
        <v>-1.43</v>
      </c>
    </row>
    <row r="256" spans="11:12" x14ac:dyDescent="0.3">
      <c r="K256" t="str">
        <v>Printer Model-583</v>
      </c>
      <c r="L256">
        <v>196.42</v>
      </c>
    </row>
    <row r="257" spans="11:12" x14ac:dyDescent="0.3">
      <c r="K257" t="str">
        <v>Printer Model-364</v>
      </c>
      <c r="L257">
        <v>-68.150000000000006</v>
      </c>
    </row>
    <row r="258" spans="11:12" x14ac:dyDescent="0.3">
      <c r="K258" t="str">
        <v>Paper Model-866</v>
      </c>
      <c r="L258">
        <v>86.28</v>
      </c>
    </row>
    <row r="259" spans="11:12" x14ac:dyDescent="0.3">
      <c r="K259" t="str">
        <v>Table Model-423</v>
      </c>
      <c r="L259">
        <v>-73.239999999999995</v>
      </c>
    </row>
    <row r="260" spans="11:12" x14ac:dyDescent="0.3">
      <c r="K260" t="str">
        <v>Bookcase Model-102</v>
      </c>
      <c r="L260">
        <v>-19.27</v>
      </c>
    </row>
    <row r="261" spans="11:12" x14ac:dyDescent="0.3">
      <c r="K261" t="str">
        <v>Bookcase Model-921</v>
      </c>
      <c r="L261">
        <v>39.99</v>
      </c>
    </row>
    <row r="262" spans="11:12" x14ac:dyDescent="0.3">
      <c r="K262" t="str">
        <v>Chair Model-481</v>
      </c>
      <c r="L262">
        <v>8.14</v>
      </c>
    </row>
    <row r="263" spans="11:12" x14ac:dyDescent="0.3">
      <c r="K263" t="str">
        <v>Bookcase Model-618</v>
      </c>
      <c r="L263">
        <v>545.75</v>
      </c>
    </row>
    <row r="264" spans="11:12" x14ac:dyDescent="0.3">
      <c r="K264" t="str">
        <v>Phone Model-358</v>
      </c>
      <c r="L264">
        <v>8.85</v>
      </c>
    </row>
    <row r="265" spans="11:12" x14ac:dyDescent="0.3">
      <c r="K265" t="str">
        <v>Printer Model-780</v>
      </c>
      <c r="L265">
        <v>67.739999999999995</v>
      </c>
    </row>
    <row r="266" spans="11:12" x14ac:dyDescent="0.3">
      <c r="K266" t="str">
        <v>Monitor Model-280</v>
      </c>
      <c r="L266">
        <v>-46.82</v>
      </c>
    </row>
    <row r="267" spans="11:12" x14ac:dyDescent="0.3">
      <c r="K267" t="str">
        <v>Table Model-426</v>
      </c>
      <c r="L267">
        <v>-15.26</v>
      </c>
    </row>
    <row r="268" spans="11:12" x14ac:dyDescent="0.3">
      <c r="K268" t="str">
        <v>Stapler Model-943</v>
      </c>
      <c r="L268">
        <v>74.849999999999994</v>
      </c>
    </row>
    <row r="269" spans="11:12" x14ac:dyDescent="0.3">
      <c r="K269" t="str">
        <v>Phone Model-377</v>
      </c>
      <c r="L269">
        <v>310.8</v>
      </c>
    </row>
    <row r="270" spans="11:12" x14ac:dyDescent="0.3">
      <c r="K270" t="str">
        <v>Chair Model-806</v>
      </c>
      <c r="L270">
        <v>-5.77</v>
      </c>
    </row>
    <row r="271" spans="11:12" x14ac:dyDescent="0.3">
      <c r="K271" t="str">
        <v>Bookcase Model-663</v>
      </c>
      <c r="L271">
        <v>132.63999999999999</v>
      </c>
    </row>
    <row r="272" spans="11:12" x14ac:dyDescent="0.3">
      <c r="K272" t="str">
        <v>Sofa Model-126</v>
      </c>
      <c r="L272">
        <v>-73.36</v>
      </c>
    </row>
    <row r="273" spans="11:12" x14ac:dyDescent="0.3">
      <c r="K273" t="str">
        <v>Laptop Model-303</v>
      </c>
      <c r="L273">
        <v>314.56</v>
      </c>
    </row>
    <row r="274" spans="11:12" x14ac:dyDescent="0.3">
      <c r="K274" t="str">
        <v>Monitor Model-133</v>
      </c>
      <c r="L274">
        <v>47.195</v>
      </c>
    </row>
    <row r="275" spans="11:12" x14ac:dyDescent="0.3">
      <c r="K275" t="str">
        <v>Table Model-255</v>
      </c>
      <c r="L275">
        <v>180.29</v>
      </c>
    </row>
    <row r="276" spans="11:12" x14ac:dyDescent="0.3">
      <c r="K276" t="str">
        <v>Pen Model-772</v>
      </c>
      <c r="L276">
        <v>336.88</v>
      </c>
    </row>
    <row r="277" spans="11:12" x14ac:dyDescent="0.3">
      <c r="K277" t="str">
        <v>Laptop Model-829</v>
      </c>
      <c r="L277">
        <v>-5.62</v>
      </c>
    </row>
    <row r="278" spans="11:12" x14ac:dyDescent="0.3">
      <c r="K278" t="str">
        <v>Bookcase Model-574</v>
      </c>
      <c r="L278">
        <v>77.045000000000002</v>
      </c>
    </row>
    <row r="279" spans="11:12" x14ac:dyDescent="0.3">
      <c r="K279" t="str">
        <v>Stapler Model-612</v>
      </c>
      <c r="L279">
        <v>110.8</v>
      </c>
    </row>
    <row r="280" spans="11:12" x14ac:dyDescent="0.3">
      <c r="K280" t="str">
        <v>Phone Model-364</v>
      </c>
      <c r="L280">
        <v>31.99</v>
      </c>
    </row>
    <row r="281" spans="11:12" x14ac:dyDescent="0.3">
      <c r="K281" t="str">
        <v>Phone Model-122</v>
      </c>
      <c r="L281">
        <v>190.92</v>
      </c>
    </row>
    <row r="282" spans="11:12" x14ac:dyDescent="0.3">
      <c r="K282" t="str">
        <v>Laptop Model-197</v>
      </c>
      <c r="L282">
        <v>20.059999999999999</v>
      </c>
    </row>
    <row r="283" spans="11:12" x14ac:dyDescent="0.3">
      <c r="K283" t="str">
        <v>Stapler Model-420</v>
      </c>
      <c r="L283">
        <v>109.24</v>
      </c>
    </row>
    <row r="284" spans="11:12" x14ac:dyDescent="0.3">
      <c r="K284" t="str">
        <v>Laptop Model-449</v>
      </c>
      <c r="L284">
        <v>185.02</v>
      </c>
    </row>
    <row r="285" spans="11:12" x14ac:dyDescent="0.3">
      <c r="K285" t="str">
        <v>Chair Model-331</v>
      </c>
      <c r="L285">
        <v>61.6</v>
      </c>
    </row>
    <row r="286" spans="11:12" x14ac:dyDescent="0.3">
      <c r="K286" t="str">
        <v>Printer Model-653</v>
      </c>
      <c r="L286">
        <v>52.65</v>
      </c>
    </row>
    <row r="287" spans="11:12" x14ac:dyDescent="0.3">
      <c r="K287" t="str">
        <v>Chair Model-160</v>
      </c>
      <c r="L287">
        <v>14.19</v>
      </c>
    </row>
    <row r="288" spans="11:12" x14ac:dyDescent="0.3">
      <c r="K288" t="str">
        <v>Monitor Model-153</v>
      </c>
      <c r="L288">
        <v>91.39</v>
      </c>
    </row>
    <row r="289" spans="11:12" x14ac:dyDescent="0.3">
      <c r="K289" t="str">
        <v>Laptop Model-870</v>
      </c>
      <c r="L289">
        <v>127.57</v>
      </c>
    </row>
    <row r="290" spans="11:12" x14ac:dyDescent="0.3">
      <c r="K290" t="str">
        <v>Printer Model-519</v>
      </c>
      <c r="L290">
        <v>-10.02</v>
      </c>
    </row>
    <row r="291" spans="11:12" x14ac:dyDescent="0.3">
      <c r="K291" t="str">
        <v>Pen Model-517</v>
      </c>
      <c r="L291">
        <v>116.5</v>
      </c>
    </row>
    <row r="292" spans="11:12" x14ac:dyDescent="0.3">
      <c r="K292" t="str">
        <v>Printer Model-606</v>
      </c>
      <c r="L292">
        <v>88.43</v>
      </c>
    </row>
    <row r="293" spans="11:12" x14ac:dyDescent="0.3">
      <c r="K293" t="str">
        <v>Laptop Model-983</v>
      </c>
      <c r="L293">
        <v>51.210000000000008</v>
      </c>
    </row>
    <row r="294" spans="11:12" x14ac:dyDescent="0.3">
      <c r="K294" t="str">
        <v>Printer Model-407</v>
      </c>
      <c r="L294">
        <v>187</v>
      </c>
    </row>
    <row r="295" spans="11:12" x14ac:dyDescent="0.3">
      <c r="K295" t="str">
        <v>Chair Model-651</v>
      </c>
      <c r="L295">
        <v>183.95</v>
      </c>
    </row>
    <row r="296" spans="11:12" x14ac:dyDescent="0.3">
      <c r="K296" t="str">
        <v>Monitor Model-975</v>
      </c>
      <c r="L296">
        <v>210.80999999999997</v>
      </c>
    </row>
    <row r="297" spans="11:12" x14ac:dyDescent="0.3">
      <c r="K297" t="str">
        <v>Printer Model-684</v>
      </c>
      <c r="L297">
        <v>-10.41</v>
      </c>
    </row>
    <row r="298" spans="11:12" x14ac:dyDescent="0.3">
      <c r="K298" t="str">
        <v>Laptop Model-486</v>
      </c>
      <c r="L298">
        <v>49.1</v>
      </c>
    </row>
    <row r="299" spans="11:12" x14ac:dyDescent="0.3">
      <c r="K299" t="str">
        <v>Phone Model-971</v>
      </c>
      <c r="L299">
        <v>50.21</v>
      </c>
    </row>
    <row r="300" spans="11:12" x14ac:dyDescent="0.3">
      <c r="K300" t="str">
        <v>Stapler Model-780</v>
      </c>
      <c r="L300">
        <v>248.21</v>
      </c>
    </row>
    <row r="301" spans="11:12" x14ac:dyDescent="0.3">
      <c r="K301" t="str">
        <v>Table Model-651</v>
      </c>
      <c r="L301">
        <v>-95.74</v>
      </c>
    </row>
    <row r="302" spans="11:12" x14ac:dyDescent="0.3">
      <c r="K302" t="str">
        <v>Paper Model-127</v>
      </c>
      <c r="L302">
        <v>-2.48</v>
      </c>
    </row>
    <row r="303" spans="11:12" x14ac:dyDescent="0.3">
      <c r="K303" t="str">
        <v>Table Model-194</v>
      </c>
      <c r="L303">
        <v>225</v>
      </c>
    </row>
    <row r="304" spans="11:12" x14ac:dyDescent="0.3">
      <c r="K304" t="str">
        <v>Monitor Model-144</v>
      </c>
      <c r="L304">
        <v>0.86</v>
      </c>
    </row>
    <row r="305" spans="11:12" x14ac:dyDescent="0.3">
      <c r="K305" t="str">
        <v>Printer Model-949</v>
      </c>
      <c r="L305">
        <v>107.38</v>
      </c>
    </row>
    <row r="306" spans="11:12" x14ac:dyDescent="0.3">
      <c r="K306" t="str">
        <v>Bookcase Model-739</v>
      </c>
      <c r="L306">
        <v>-46.37</v>
      </c>
    </row>
    <row r="307" spans="11:12" x14ac:dyDescent="0.3">
      <c r="K307" t="str">
        <v>Stapler Model-753</v>
      </c>
      <c r="L307">
        <v>16.64</v>
      </c>
    </row>
    <row r="308" spans="11:12" x14ac:dyDescent="0.3">
      <c r="K308" t="str">
        <v>Paper Model-473</v>
      </c>
      <c r="L308">
        <v>319.02</v>
      </c>
    </row>
    <row r="309" spans="11:12" x14ac:dyDescent="0.3">
      <c r="K309" t="str">
        <v>Printer Model-512</v>
      </c>
      <c r="L309">
        <v>-24.59</v>
      </c>
    </row>
    <row r="310" spans="11:12" x14ac:dyDescent="0.3">
      <c r="K310" t="str">
        <v>Table Model-122</v>
      </c>
      <c r="L310">
        <v>-60.74</v>
      </c>
    </row>
    <row r="311" spans="11:12" x14ac:dyDescent="0.3">
      <c r="K311" t="str">
        <v>Phone Model-911</v>
      </c>
      <c r="L311">
        <v>204.84</v>
      </c>
    </row>
    <row r="312" spans="11:12" x14ac:dyDescent="0.3">
      <c r="K312" t="str">
        <v>Chair Model-451</v>
      </c>
      <c r="L312">
        <v>98.22</v>
      </c>
    </row>
    <row r="313" spans="11:12" x14ac:dyDescent="0.3">
      <c r="K313" t="str">
        <v>Printer Model-777</v>
      </c>
      <c r="L313">
        <v>12.56</v>
      </c>
    </row>
    <row r="314" spans="11:12" x14ac:dyDescent="0.3">
      <c r="K314" t="str">
        <v>Chair Model-739</v>
      </c>
      <c r="L314">
        <v>-8.16</v>
      </c>
    </row>
    <row r="315" spans="11:12" x14ac:dyDescent="0.3">
      <c r="K315" t="str">
        <v>Binder Model-368</v>
      </c>
      <c r="L315">
        <v>240.98</v>
      </c>
    </row>
    <row r="316" spans="11:12" x14ac:dyDescent="0.3">
      <c r="K316" t="str">
        <v>Laptop Model-583</v>
      </c>
      <c r="L316">
        <v>168.83</v>
      </c>
    </row>
    <row r="317" spans="11:12" x14ac:dyDescent="0.3">
      <c r="K317" t="str">
        <v>Sofa Model-251</v>
      </c>
      <c r="L317">
        <v>165.56</v>
      </c>
    </row>
    <row r="318" spans="11:12" x14ac:dyDescent="0.3">
      <c r="K318" t="str">
        <v>Table Model-376</v>
      </c>
      <c r="L318">
        <v>40.96</v>
      </c>
    </row>
    <row r="319" spans="11:12" x14ac:dyDescent="0.3">
      <c r="K319" t="str">
        <v>Phone Model-410</v>
      </c>
      <c r="L319">
        <v>86.01</v>
      </c>
    </row>
    <row r="320" spans="11:12" x14ac:dyDescent="0.3">
      <c r="K320" t="str">
        <v>Phone Model-996</v>
      </c>
      <c r="L320">
        <v>-155.80000000000001</v>
      </c>
    </row>
    <row r="321" spans="11:12" x14ac:dyDescent="0.3">
      <c r="K321" t="str">
        <v>Phone Model-532</v>
      </c>
      <c r="L321">
        <v>356.44</v>
      </c>
    </row>
    <row r="322" spans="11:12" x14ac:dyDescent="0.3">
      <c r="K322" t="str">
        <v>Phone Model-929</v>
      </c>
      <c r="L322">
        <v>103.99</v>
      </c>
    </row>
    <row r="323" spans="11:12" x14ac:dyDescent="0.3">
      <c r="K323" t="str">
        <v>Chair Model-661</v>
      </c>
      <c r="L323">
        <v>118.93</v>
      </c>
    </row>
    <row r="324" spans="11:12" x14ac:dyDescent="0.3">
      <c r="K324" t="str">
        <v>Chair Model-144</v>
      </c>
      <c r="L324">
        <v>-75.55</v>
      </c>
    </row>
    <row r="325" spans="11:12" x14ac:dyDescent="0.3">
      <c r="K325" t="str">
        <v>Chair Model-935</v>
      </c>
      <c r="L325">
        <v>-10.9</v>
      </c>
    </row>
    <row r="326" spans="11:12" x14ac:dyDescent="0.3">
      <c r="K326" t="str">
        <v>Paper Model-677</v>
      </c>
      <c r="L326">
        <v>-9.76</v>
      </c>
    </row>
    <row r="327" spans="11:12" x14ac:dyDescent="0.3">
      <c r="K327" t="str">
        <v>Sofa Model-322</v>
      </c>
      <c r="L327">
        <v>165.78</v>
      </c>
    </row>
    <row r="328" spans="11:12" x14ac:dyDescent="0.3">
      <c r="K328" t="str">
        <v>Paper Model-976</v>
      </c>
      <c r="L328">
        <v>23.299999999999997</v>
      </c>
    </row>
    <row r="329" spans="11:12" x14ac:dyDescent="0.3">
      <c r="K329" t="str">
        <v>Laptop Model-331</v>
      </c>
      <c r="L329">
        <v>81.510000000000005</v>
      </c>
    </row>
    <row r="330" spans="11:12" x14ac:dyDescent="0.3">
      <c r="K330" t="str">
        <v>Table Model-547</v>
      </c>
      <c r="L330">
        <v>-32.57</v>
      </c>
    </row>
    <row r="331" spans="11:12" x14ac:dyDescent="0.3">
      <c r="K331" t="str">
        <v>Phone Model-676</v>
      </c>
      <c r="L331">
        <v>34.96</v>
      </c>
    </row>
    <row r="332" spans="11:12" x14ac:dyDescent="0.3">
      <c r="K332" t="str">
        <v>Binder Model-752</v>
      </c>
      <c r="L332">
        <v>-168.76</v>
      </c>
    </row>
    <row r="333" spans="11:12" x14ac:dyDescent="0.3">
      <c r="K333" t="str">
        <v>Printer Model-132</v>
      </c>
      <c r="L333">
        <v>54.94</v>
      </c>
    </row>
    <row r="334" spans="11:12" x14ac:dyDescent="0.3">
      <c r="K334" t="str">
        <v>Binder Model-531</v>
      </c>
      <c r="L334">
        <v>-64.69</v>
      </c>
    </row>
    <row r="335" spans="11:12" x14ac:dyDescent="0.3">
      <c r="K335" t="str">
        <v>Pen Model-976</v>
      </c>
      <c r="L335">
        <v>117.31</v>
      </c>
    </row>
    <row r="336" spans="11:12" x14ac:dyDescent="0.3">
      <c r="K336" t="str">
        <v>Stapler Model-860</v>
      </c>
      <c r="L336">
        <v>114.26</v>
      </c>
    </row>
    <row r="337" spans="11:12" x14ac:dyDescent="0.3">
      <c r="K337" t="str">
        <v>Binder Model-938</v>
      </c>
      <c r="L337">
        <v>89.28</v>
      </c>
    </row>
    <row r="338" spans="11:12" x14ac:dyDescent="0.3">
      <c r="K338" t="str">
        <v>Chair Model-854</v>
      </c>
      <c r="L338">
        <v>40.159999999999997</v>
      </c>
    </row>
    <row r="339" spans="11:12" x14ac:dyDescent="0.3">
      <c r="K339" t="str">
        <v>Paper Model-158</v>
      </c>
      <c r="L339">
        <v>79.03</v>
      </c>
    </row>
    <row r="340" spans="11:12" x14ac:dyDescent="0.3">
      <c r="K340" t="str">
        <v>Laptop Model-958</v>
      </c>
      <c r="L340">
        <v>-62.13</v>
      </c>
    </row>
    <row r="341" spans="11:12" x14ac:dyDescent="0.3">
      <c r="K341" t="str">
        <v>Monitor Model-327</v>
      </c>
      <c r="L341">
        <v>20.62</v>
      </c>
    </row>
    <row r="342" spans="11:12" x14ac:dyDescent="0.3">
      <c r="K342" t="str">
        <v>Stapler Model-840</v>
      </c>
      <c r="L342">
        <v>30.5</v>
      </c>
    </row>
    <row r="343" spans="11:12" x14ac:dyDescent="0.3">
      <c r="K343" t="str">
        <v>Sofa Model-241</v>
      </c>
      <c r="L343">
        <v>-16.27</v>
      </c>
    </row>
    <row r="344" spans="11:12" x14ac:dyDescent="0.3">
      <c r="K344" t="str">
        <v>Monitor Model-552</v>
      </c>
      <c r="L344">
        <v>-18.16</v>
      </c>
    </row>
    <row r="345" spans="11:12" x14ac:dyDescent="0.3">
      <c r="K345" t="str">
        <v>Printer Model-425</v>
      </c>
      <c r="L345">
        <v>-222.89</v>
      </c>
    </row>
    <row r="346" spans="11:12" x14ac:dyDescent="0.3">
      <c r="K346" t="str">
        <v>Chair Model-624</v>
      </c>
      <c r="L346">
        <v>14.92</v>
      </c>
    </row>
    <row r="347" spans="11:12" x14ac:dyDescent="0.3">
      <c r="K347" t="str">
        <v>Paper Model-501</v>
      </c>
      <c r="L347">
        <v>169.55</v>
      </c>
    </row>
    <row r="348" spans="11:12" x14ac:dyDescent="0.3">
      <c r="K348" t="str">
        <v>Binder Model-912</v>
      </c>
      <c r="L348">
        <v>118.35499999999999</v>
      </c>
    </row>
    <row r="349" spans="11:12" x14ac:dyDescent="0.3">
      <c r="K349" t="str">
        <v>Phone Model-685</v>
      </c>
      <c r="L349">
        <v>57.93</v>
      </c>
    </row>
    <row r="350" spans="11:12" x14ac:dyDescent="0.3">
      <c r="K350" t="str">
        <v>Monitor Model-741</v>
      </c>
      <c r="L350">
        <v>116.25</v>
      </c>
    </row>
    <row r="351" spans="11:12" x14ac:dyDescent="0.3">
      <c r="K351" t="str">
        <v>Paper Model-184</v>
      </c>
      <c r="L351">
        <v>-4.9400000000000004</v>
      </c>
    </row>
    <row r="352" spans="11:12" x14ac:dyDescent="0.3">
      <c r="K352" t="str">
        <v>Binder Model-162</v>
      </c>
      <c r="L352">
        <v>-28.51</v>
      </c>
    </row>
    <row r="353" spans="11:12" x14ac:dyDescent="0.3">
      <c r="K353" t="str">
        <v>Laptop Model-726</v>
      </c>
      <c r="L353">
        <v>363.12</v>
      </c>
    </row>
    <row r="354" spans="11:12" x14ac:dyDescent="0.3">
      <c r="K354" t="str">
        <v>Chair Model-619</v>
      </c>
      <c r="L354">
        <v>60.49</v>
      </c>
    </row>
    <row r="355" spans="11:12" x14ac:dyDescent="0.3">
      <c r="K355" t="str">
        <v>Stapler Model-869</v>
      </c>
      <c r="L355">
        <v>-213.22</v>
      </c>
    </row>
    <row r="356" spans="11:12" x14ac:dyDescent="0.3">
      <c r="K356" t="str">
        <v>Chair Model-308</v>
      </c>
      <c r="L356">
        <v>52.83</v>
      </c>
    </row>
    <row r="357" spans="11:12" x14ac:dyDescent="0.3">
      <c r="K357" t="str">
        <v>Binder Model-992</v>
      </c>
      <c r="L357">
        <v>155.11000000000001</v>
      </c>
    </row>
    <row r="358" spans="11:12" x14ac:dyDescent="0.3">
      <c r="K358" t="str">
        <v>Monitor Model-417</v>
      </c>
      <c r="L358">
        <v>-44.42</v>
      </c>
    </row>
    <row r="359" spans="11:12" x14ac:dyDescent="0.3">
      <c r="K359" t="str">
        <v>Stapler Model-883</v>
      </c>
      <c r="L359">
        <v>-41.21</v>
      </c>
    </row>
    <row r="360" spans="11:12" x14ac:dyDescent="0.3">
      <c r="K360" t="str">
        <v>Printer Model-430</v>
      </c>
      <c r="L360">
        <v>-5.14</v>
      </c>
    </row>
    <row r="361" spans="11:12" x14ac:dyDescent="0.3">
      <c r="K361" t="str">
        <v>Bookcase Model-958</v>
      </c>
      <c r="L361">
        <v>289.8</v>
      </c>
    </row>
    <row r="362" spans="11:12" x14ac:dyDescent="0.3">
      <c r="K362" t="str">
        <v>Bookcase Model-286</v>
      </c>
      <c r="L362">
        <v>482.73</v>
      </c>
    </row>
    <row r="363" spans="11:12" x14ac:dyDescent="0.3">
      <c r="K363" t="str">
        <v>Chair Model-809</v>
      </c>
      <c r="L363">
        <v>7.65</v>
      </c>
    </row>
    <row r="364" spans="11:12" x14ac:dyDescent="0.3">
      <c r="K364" t="str">
        <v>Printer Model-508</v>
      </c>
      <c r="L364">
        <v>-13.29</v>
      </c>
    </row>
    <row r="365" spans="11:12" x14ac:dyDescent="0.3">
      <c r="K365" t="str">
        <v>Pen Model-936</v>
      </c>
      <c r="L365">
        <v>9.82</v>
      </c>
    </row>
    <row r="366" spans="11:12" x14ac:dyDescent="0.3">
      <c r="K366" t="str">
        <v>Monitor Model-133</v>
      </c>
      <c r="L366">
        <v>47.195</v>
      </c>
    </row>
    <row r="367" spans="11:12" x14ac:dyDescent="0.3">
      <c r="K367" t="str">
        <v>Monitor Model-124</v>
      </c>
      <c r="L367">
        <v>-18.45</v>
      </c>
    </row>
    <row r="368" spans="11:12" x14ac:dyDescent="0.3">
      <c r="K368" t="str">
        <v>Laptop Model-983</v>
      </c>
      <c r="L368">
        <v>51.210000000000008</v>
      </c>
    </row>
    <row r="369" spans="11:12" x14ac:dyDescent="0.3">
      <c r="K369" t="str">
        <v>Bookcase Model-938</v>
      </c>
      <c r="L369">
        <v>344.98</v>
      </c>
    </row>
    <row r="370" spans="11:12" x14ac:dyDescent="0.3">
      <c r="K370" t="str">
        <v>Printer Model-584</v>
      </c>
      <c r="L370">
        <v>74.760000000000005</v>
      </c>
    </row>
    <row r="371" spans="11:12" x14ac:dyDescent="0.3">
      <c r="K371" t="str">
        <v>Sofa Model-457</v>
      </c>
      <c r="L371">
        <v>-6.52</v>
      </c>
    </row>
    <row r="372" spans="11:12" x14ac:dyDescent="0.3">
      <c r="K372" t="str">
        <v>Laptop Model-512</v>
      </c>
      <c r="L372">
        <v>132.65</v>
      </c>
    </row>
    <row r="373" spans="11:12" x14ac:dyDescent="0.3">
      <c r="K373" t="str">
        <v>Stapler Model-601</v>
      </c>
      <c r="L373">
        <v>55.54</v>
      </c>
    </row>
    <row r="374" spans="11:12" x14ac:dyDescent="0.3">
      <c r="K374" t="str">
        <v>Laptop Model-106</v>
      </c>
      <c r="L374">
        <v>261.5</v>
      </c>
    </row>
    <row r="375" spans="11:12" x14ac:dyDescent="0.3">
      <c r="K375" t="str">
        <v>Phone Model-668</v>
      </c>
      <c r="L375">
        <v>76.849999999999994</v>
      </c>
    </row>
    <row r="376" spans="11:12" x14ac:dyDescent="0.3">
      <c r="K376" t="str">
        <v>Chair Model-978</v>
      </c>
      <c r="L376">
        <v>3.8</v>
      </c>
    </row>
    <row r="377" spans="11:12" x14ac:dyDescent="0.3">
      <c r="K377" t="str">
        <v>Binder Model-758</v>
      </c>
      <c r="L377">
        <v>6.91</v>
      </c>
    </row>
    <row r="378" spans="11:12" x14ac:dyDescent="0.3">
      <c r="K378" t="str">
        <v>Paper Model-300</v>
      </c>
      <c r="L378">
        <v>98.52</v>
      </c>
    </row>
    <row r="379" spans="11:12" x14ac:dyDescent="0.3">
      <c r="K379" t="str">
        <v>Phone Model-469</v>
      </c>
      <c r="L379">
        <v>95.72</v>
      </c>
    </row>
    <row r="380" spans="11:12" x14ac:dyDescent="0.3">
      <c r="K380" t="str">
        <v>Binder Model-249</v>
      </c>
      <c r="L380">
        <v>111.39</v>
      </c>
    </row>
    <row r="381" spans="11:12" x14ac:dyDescent="0.3">
      <c r="K381" t="str">
        <v>Paper Model-584</v>
      </c>
      <c r="L381">
        <v>97.43</v>
      </c>
    </row>
    <row r="382" spans="11:12" x14ac:dyDescent="0.3">
      <c r="K382" t="str">
        <v>Pen Model-597</v>
      </c>
      <c r="L382">
        <v>8.5299999999999994</v>
      </c>
    </row>
    <row r="383" spans="11:12" x14ac:dyDescent="0.3">
      <c r="K383" t="str">
        <v>Laptop Model-519</v>
      </c>
      <c r="L383">
        <v>106.26</v>
      </c>
    </row>
    <row r="384" spans="11:12" x14ac:dyDescent="0.3">
      <c r="K384" t="str">
        <v>Binder Model-789</v>
      </c>
      <c r="L384">
        <v>44.12</v>
      </c>
    </row>
    <row r="385" spans="11:12" x14ac:dyDescent="0.3">
      <c r="K385" t="str">
        <v>Paper Model-871</v>
      </c>
      <c r="L385">
        <v>104.22</v>
      </c>
    </row>
    <row r="386" spans="11:12" x14ac:dyDescent="0.3">
      <c r="K386" t="str">
        <v>Binder Model-713</v>
      </c>
      <c r="L386">
        <v>109.76</v>
      </c>
    </row>
    <row r="387" spans="11:12" x14ac:dyDescent="0.3">
      <c r="K387" t="str">
        <v>Printer Model-233</v>
      </c>
      <c r="L387">
        <v>-0.51</v>
      </c>
    </row>
    <row r="388" spans="11:12" x14ac:dyDescent="0.3">
      <c r="K388" t="str">
        <v>Sofa Model-193</v>
      </c>
      <c r="L388">
        <v>12.7</v>
      </c>
    </row>
    <row r="389" spans="11:12" x14ac:dyDescent="0.3">
      <c r="K389" t="str">
        <v>Stapler Model-941</v>
      </c>
      <c r="L389">
        <v>238.52</v>
      </c>
    </row>
    <row r="390" spans="11:12" x14ac:dyDescent="0.3">
      <c r="K390" t="str">
        <v>Table Model-599</v>
      </c>
      <c r="L390">
        <v>19.91</v>
      </c>
    </row>
    <row r="391" spans="11:12" x14ac:dyDescent="0.3">
      <c r="K391" t="str">
        <v>Table Model-974</v>
      </c>
      <c r="L391">
        <v>56.76</v>
      </c>
    </row>
    <row r="392" spans="11:12" x14ac:dyDescent="0.3">
      <c r="K392" t="str">
        <v>Sofa Model-684</v>
      </c>
      <c r="L392">
        <v>185.68</v>
      </c>
    </row>
    <row r="393" spans="11:12" x14ac:dyDescent="0.3">
      <c r="K393" t="str">
        <v>Table Model-331</v>
      </c>
      <c r="L393">
        <v>18.239999999999998</v>
      </c>
    </row>
    <row r="394" spans="11:12" x14ac:dyDescent="0.3">
      <c r="K394" t="str">
        <v>Table Model-549</v>
      </c>
      <c r="L394">
        <v>19.850000000000001</v>
      </c>
    </row>
    <row r="395" spans="11:12" x14ac:dyDescent="0.3">
      <c r="K395" t="str">
        <v>Binder Model-635</v>
      </c>
      <c r="L395">
        <v>-84.36</v>
      </c>
    </row>
    <row r="396" spans="11:12" x14ac:dyDescent="0.3">
      <c r="K396" t="str">
        <v>Table Model-235</v>
      </c>
      <c r="L396">
        <v>121.62</v>
      </c>
    </row>
    <row r="397" spans="11:12" x14ac:dyDescent="0.3">
      <c r="K397" t="str">
        <v>Paper Model-824</v>
      </c>
      <c r="L397">
        <v>-45.72</v>
      </c>
    </row>
    <row r="398" spans="11:12" x14ac:dyDescent="0.3">
      <c r="K398" t="str">
        <v>Printer Model-209</v>
      </c>
      <c r="L398">
        <v>21.81</v>
      </c>
    </row>
    <row r="399" spans="11:12" x14ac:dyDescent="0.3">
      <c r="K399" t="str">
        <v>Phone Model-745</v>
      </c>
      <c r="L399">
        <v>32.93</v>
      </c>
    </row>
    <row r="400" spans="11:12" x14ac:dyDescent="0.3">
      <c r="K400" t="str">
        <v>Binder Model-274</v>
      </c>
      <c r="L400">
        <v>-0.96</v>
      </c>
    </row>
    <row r="401" spans="11:12" x14ac:dyDescent="0.3">
      <c r="K401" t="str">
        <v>Printer Model-259</v>
      </c>
      <c r="L401">
        <v>55.41</v>
      </c>
    </row>
    <row r="402" spans="11:12" x14ac:dyDescent="0.3">
      <c r="K402" t="str">
        <v>Table Model-824</v>
      </c>
      <c r="L402">
        <v>44.53</v>
      </c>
    </row>
    <row r="403" spans="11:12" x14ac:dyDescent="0.3">
      <c r="K403" t="str">
        <v>Laptop Model-465</v>
      </c>
      <c r="L403">
        <v>-124.1</v>
      </c>
    </row>
    <row r="404" spans="11:12" x14ac:dyDescent="0.3">
      <c r="K404" t="str">
        <v>Stapler Model-220</v>
      </c>
      <c r="L404">
        <v>65.27</v>
      </c>
    </row>
    <row r="405" spans="11:12" x14ac:dyDescent="0.3">
      <c r="K405" t="str">
        <v>Printer Model-197</v>
      </c>
      <c r="L405">
        <v>157.5</v>
      </c>
    </row>
    <row r="406" spans="11:12" x14ac:dyDescent="0.3">
      <c r="K406" t="str">
        <v>Bookcase Model-926</v>
      </c>
      <c r="L406">
        <v>511.28</v>
      </c>
    </row>
    <row r="407" spans="11:12" x14ac:dyDescent="0.3">
      <c r="K407" t="str">
        <v>Phone Model-275</v>
      </c>
      <c r="L407">
        <v>146.06</v>
      </c>
    </row>
    <row r="408" spans="11:12" x14ac:dyDescent="0.3">
      <c r="K408" t="str">
        <v>Phone Model-622</v>
      </c>
      <c r="L408">
        <v>81.72</v>
      </c>
    </row>
    <row r="409" spans="11:12" x14ac:dyDescent="0.3">
      <c r="K409" t="str">
        <v>Monitor Model-346</v>
      </c>
      <c r="L409">
        <v>0.13</v>
      </c>
    </row>
    <row r="410" spans="11:12" x14ac:dyDescent="0.3">
      <c r="K410" t="str">
        <v>Laptop Model-314</v>
      </c>
      <c r="L410">
        <v>59.45</v>
      </c>
    </row>
    <row r="411" spans="11:12" x14ac:dyDescent="0.3">
      <c r="K411" t="str">
        <v>Bookcase Model-997</v>
      </c>
      <c r="L411">
        <v>-112.99</v>
      </c>
    </row>
    <row r="412" spans="11:12" x14ac:dyDescent="0.3">
      <c r="K412" t="str">
        <v>Binder Model-358</v>
      </c>
      <c r="L412">
        <v>-43.82</v>
      </c>
    </row>
    <row r="413" spans="11:12" x14ac:dyDescent="0.3">
      <c r="K413" t="str">
        <v>Phone Model-926</v>
      </c>
      <c r="L413">
        <v>-6.15</v>
      </c>
    </row>
    <row r="414" spans="11:12" x14ac:dyDescent="0.3">
      <c r="K414" t="str">
        <v>Binder Model-605</v>
      </c>
      <c r="L414">
        <v>450.07</v>
      </c>
    </row>
    <row r="415" spans="11:12" x14ac:dyDescent="0.3">
      <c r="K415" t="str">
        <v>Binder Model-781</v>
      </c>
      <c r="L415">
        <v>235.41</v>
      </c>
    </row>
    <row r="416" spans="11:12" x14ac:dyDescent="0.3">
      <c r="K416" t="str">
        <v>Chair Model-457</v>
      </c>
      <c r="L416">
        <v>191.53</v>
      </c>
    </row>
    <row r="417" spans="11:12" x14ac:dyDescent="0.3">
      <c r="K417" t="str">
        <v>Paper Model-913</v>
      </c>
      <c r="L417">
        <v>44.67</v>
      </c>
    </row>
    <row r="418" spans="11:12" x14ac:dyDescent="0.3">
      <c r="K418" t="str">
        <v>Stapler Model-820</v>
      </c>
      <c r="L418">
        <v>-86.64</v>
      </c>
    </row>
    <row r="419" spans="11:12" x14ac:dyDescent="0.3">
      <c r="K419" t="str">
        <v>Sofa Model-439</v>
      </c>
      <c r="L419">
        <v>2.54</v>
      </c>
    </row>
    <row r="420" spans="11:12" x14ac:dyDescent="0.3">
      <c r="K420" t="str">
        <v>Laptop Model-976</v>
      </c>
      <c r="L420">
        <v>29.31</v>
      </c>
    </row>
    <row r="421" spans="11:12" x14ac:dyDescent="0.3">
      <c r="K421" t="str">
        <v>Binder Model-533</v>
      </c>
      <c r="L421">
        <v>125.09</v>
      </c>
    </row>
    <row r="422" spans="11:12" x14ac:dyDescent="0.3">
      <c r="K422" t="str">
        <v>Printer Model-839</v>
      </c>
      <c r="L422">
        <v>20.22</v>
      </c>
    </row>
    <row r="423" spans="11:12" x14ac:dyDescent="0.3">
      <c r="K423" t="str">
        <v>Table Model-883</v>
      </c>
      <c r="L423">
        <v>127.56</v>
      </c>
    </row>
    <row r="424" spans="11:12" x14ac:dyDescent="0.3">
      <c r="K424" t="str">
        <v>Laptop Model-194</v>
      </c>
      <c r="L424">
        <v>352.97</v>
      </c>
    </row>
    <row r="425" spans="11:12" x14ac:dyDescent="0.3">
      <c r="K425" t="str">
        <v>Pen Model-422</v>
      </c>
      <c r="L425">
        <v>176.18</v>
      </c>
    </row>
    <row r="426" spans="11:12" x14ac:dyDescent="0.3">
      <c r="K426" t="str">
        <v>Binder Model-435</v>
      </c>
      <c r="L426">
        <v>-49.77</v>
      </c>
    </row>
    <row r="427" spans="11:12" x14ac:dyDescent="0.3">
      <c r="K427" t="str">
        <v>Monitor Model-794</v>
      </c>
      <c r="L427">
        <v>82.5</v>
      </c>
    </row>
    <row r="428" spans="11:12" x14ac:dyDescent="0.3">
      <c r="K428" t="str">
        <v>Table Model-912</v>
      </c>
      <c r="L428">
        <v>1.22</v>
      </c>
    </row>
    <row r="429" spans="11:12" x14ac:dyDescent="0.3">
      <c r="K429" t="str">
        <v>Chair Model-399</v>
      </c>
      <c r="L429">
        <v>131.44999999999999</v>
      </c>
    </row>
    <row r="430" spans="11:12" x14ac:dyDescent="0.3">
      <c r="K430" t="str">
        <v>Bookcase Model-477</v>
      </c>
      <c r="L430">
        <v>26.58</v>
      </c>
    </row>
    <row r="431" spans="11:12" x14ac:dyDescent="0.3">
      <c r="K431" t="str">
        <v>Laptop Model-558</v>
      </c>
      <c r="L431">
        <v>-9.7100000000000009</v>
      </c>
    </row>
    <row r="432" spans="11:12" x14ac:dyDescent="0.3">
      <c r="K432" t="str">
        <v>Stapler Model-394</v>
      </c>
      <c r="L432">
        <v>320.86</v>
      </c>
    </row>
    <row r="433" spans="11:12" x14ac:dyDescent="0.3">
      <c r="K433" t="str">
        <v>Pen Model-106</v>
      </c>
      <c r="L433">
        <v>94.634999999999991</v>
      </c>
    </row>
    <row r="434" spans="11:12" x14ac:dyDescent="0.3">
      <c r="K434" t="str">
        <v>Table Model-158</v>
      </c>
      <c r="L434">
        <v>13.74</v>
      </c>
    </row>
    <row r="435" spans="11:12" x14ac:dyDescent="0.3">
      <c r="K435" t="str">
        <v>Printer Model-268</v>
      </c>
      <c r="L435">
        <v>90.54</v>
      </c>
    </row>
    <row r="436" spans="11:12" x14ac:dyDescent="0.3">
      <c r="K436" t="str">
        <v>Binder Model-127</v>
      </c>
      <c r="L436">
        <v>116.67</v>
      </c>
    </row>
    <row r="437" spans="11:12" x14ac:dyDescent="0.3">
      <c r="K437" t="str">
        <v>Bookcase Model-569</v>
      </c>
      <c r="L437">
        <v>-25.08</v>
      </c>
    </row>
    <row r="438" spans="11:12" x14ac:dyDescent="0.3">
      <c r="K438" t="str">
        <v>Paper Model-388</v>
      </c>
      <c r="L438">
        <v>30.23</v>
      </c>
    </row>
    <row r="439" spans="11:12" x14ac:dyDescent="0.3">
      <c r="K439" t="str">
        <v>Phone Model-517</v>
      </c>
      <c r="L439">
        <v>32.54</v>
      </c>
    </row>
    <row r="440" spans="11:12" x14ac:dyDescent="0.3">
      <c r="K440" t="str">
        <v>Sofa Model-651</v>
      </c>
      <c r="L440">
        <v>9.93</v>
      </c>
    </row>
    <row r="441" spans="11:12" x14ac:dyDescent="0.3">
      <c r="K441" t="str">
        <v>Pen Model-974</v>
      </c>
      <c r="L441">
        <v>36.43</v>
      </c>
    </row>
    <row r="442" spans="11:12" x14ac:dyDescent="0.3">
      <c r="K442" t="str">
        <v>Pen Model-199</v>
      </c>
      <c r="L442">
        <v>-153.78</v>
      </c>
    </row>
    <row r="443" spans="11:12" x14ac:dyDescent="0.3">
      <c r="K443" t="str">
        <v>Bookcase Model-180</v>
      </c>
      <c r="L443">
        <v>1.22</v>
      </c>
    </row>
    <row r="444" spans="11:12" x14ac:dyDescent="0.3">
      <c r="K444" t="str">
        <v>Chair Model-143</v>
      </c>
      <c r="L444">
        <v>-99.4</v>
      </c>
    </row>
    <row r="445" spans="11:12" x14ac:dyDescent="0.3">
      <c r="K445" t="str">
        <v>Pen Model-964</v>
      </c>
      <c r="L445">
        <v>388.49</v>
      </c>
    </row>
    <row r="446" spans="11:12" x14ac:dyDescent="0.3">
      <c r="K446" t="str">
        <v>Bookcase Model-627</v>
      </c>
      <c r="L446">
        <v>49.65</v>
      </c>
    </row>
    <row r="447" spans="11:12" x14ac:dyDescent="0.3">
      <c r="K447" t="str">
        <v>Table Model-955</v>
      </c>
      <c r="L447">
        <v>142.62</v>
      </c>
    </row>
    <row r="448" spans="11:12" x14ac:dyDescent="0.3">
      <c r="K448" t="str">
        <v>Paper Model-192</v>
      </c>
      <c r="L448">
        <v>92.46</v>
      </c>
    </row>
    <row r="449" spans="11:12" x14ac:dyDescent="0.3">
      <c r="K449" t="str">
        <v>Binder Model-930</v>
      </c>
      <c r="L449">
        <v>79.88</v>
      </c>
    </row>
    <row r="450" spans="11:12" x14ac:dyDescent="0.3">
      <c r="K450" t="str">
        <v>Phone Model-292</v>
      </c>
      <c r="L450">
        <v>208.6</v>
      </c>
    </row>
    <row r="451" spans="11:12" x14ac:dyDescent="0.3">
      <c r="K451" t="str">
        <v>Pen Model-942</v>
      </c>
      <c r="L451">
        <v>123.94999999999999</v>
      </c>
    </row>
    <row r="452" spans="11:12" x14ac:dyDescent="0.3">
      <c r="K452" t="str">
        <v>Table Model-965</v>
      </c>
      <c r="L452">
        <v>10.45</v>
      </c>
    </row>
    <row r="453" spans="11:12" x14ac:dyDescent="0.3">
      <c r="K453" t="str">
        <v>Stapler Model-677</v>
      </c>
      <c r="L453">
        <v>21.25</v>
      </c>
    </row>
    <row r="454" spans="11:12" x14ac:dyDescent="0.3">
      <c r="K454" t="str">
        <v>Printer Model-136</v>
      </c>
      <c r="L454">
        <v>415.44</v>
      </c>
    </row>
    <row r="455" spans="11:12" x14ac:dyDescent="0.3">
      <c r="K455" t="str">
        <v>Printer Model-474</v>
      </c>
      <c r="L455">
        <v>154.34</v>
      </c>
    </row>
    <row r="456" spans="11:12" x14ac:dyDescent="0.3">
      <c r="K456" t="str">
        <v>Sofa Model-170</v>
      </c>
      <c r="L456">
        <v>-89.63</v>
      </c>
    </row>
    <row r="457" spans="11:12" x14ac:dyDescent="0.3">
      <c r="K457" t="str">
        <v>Chair Model-638</v>
      </c>
      <c r="L457">
        <v>97.47</v>
      </c>
    </row>
    <row r="458" spans="11:12" x14ac:dyDescent="0.3">
      <c r="K458" t="str">
        <v>Printer Model-561</v>
      </c>
      <c r="L458">
        <v>39.81</v>
      </c>
    </row>
    <row r="459" spans="11:12" x14ac:dyDescent="0.3">
      <c r="K459" t="str">
        <v>Sofa Model-989</v>
      </c>
      <c r="L459">
        <v>24.25</v>
      </c>
    </row>
    <row r="460" spans="11:12" x14ac:dyDescent="0.3">
      <c r="K460" t="str">
        <v>Paper Model-627</v>
      </c>
      <c r="L460">
        <v>68.349999999999994</v>
      </c>
    </row>
    <row r="461" spans="11:12" x14ac:dyDescent="0.3">
      <c r="K461" t="str">
        <v>Binder Model-216</v>
      </c>
      <c r="L461">
        <v>128.6</v>
      </c>
    </row>
    <row r="462" spans="11:12" x14ac:dyDescent="0.3">
      <c r="K462" t="str">
        <v>Binder Model-478</v>
      </c>
      <c r="L462">
        <v>-18.77</v>
      </c>
    </row>
    <row r="463" spans="11:12" x14ac:dyDescent="0.3">
      <c r="K463" t="str">
        <v>Chair Model-434</v>
      </c>
      <c r="L463">
        <v>-124.93</v>
      </c>
    </row>
    <row r="464" spans="11:12" x14ac:dyDescent="0.3">
      <c r="K464" t="str">
        <v>Pen Model-106</v>
      </c>
      <c r="L464">
        <v>94.634999999999991</v>
      </c>
    </row>
    <row r="465" spans="11:12" x14ac:dyDescent="0.3">
      <c r="K465" t="str">
        <v>Sofa Model-877</v>
      </c>
      <c r="L465">
        <v>43.13</v>
      </c>
    </row>
    <row r="466" spans="11:12" x14ac:dyDescent="0.3">
      <c r="K466" t="str">
        <v>Binder Model-350</v>
      </c>
      <c r="L466">
        <v>94.3</v>
      </c>
    </row>
    <row r="467" spans="11:12" x14ac:dyDescent="0.3">
      <c r="K467" t="str">
        <v>Paper Model-437</v>
      </c>
      <c r="L467">
        <v>-31.62</v>
      </c>
    </row>
    <row r="468" spans="11:12" x14ac:dyDescent="0.3">
      <c r="K468" t="str">
        <v>Printer Model-129</v>
      </c>
      <c r="L468">
        <v>-76.3</v>
      </c>
    </row>
    <row r="469" spans="11:12" x14ac:dyDescent="0.3">
      <c r="K469" t="str">
        <v>Pen Model-552</v>
      </c>
      <c r="L469">
        <v>12.37</v>
      </c>
    </row>
    <row r="470" spans="11:12" x14ac:dyDescent="0.3">
      <c r="K470" t="str">
        <v>Bookcase Model-879</v>
      </c>
      <c r="L470">
        <v>49.06</v>
      </c>
    </row>
    <row r="471" spans="11:12" x14ac:dyDescent="0.3">
      <c r="K471" t="str">
        <v>Stapler Model-894</v>
      </c>
      <c r="L471">
        <v>49.57</v>
      </c>
    </row>
    <row r="472" spans="11:12" x14ac:dyDescent="0.3">
      <c r="K472" t="str">
        <v>Monitor Model-294</v>
      </c>
      <c r="L472">
        <v>-9.15</v>
      </c>
    </row>
    <row r="473" spans="11:12" x14ac:dyDescent="0.3">
      <c r="K473" t="str">
        <v>Table Model-829</v>
      </c>
      <c r="L473">
        <v>321.89999999999998</v>
      </c>
    </row>
    <row r="474" spans="11:12" x14ac:dyDescent="0.3">
      <c r="K474" t="str">
        <v>Paper Model-250</v>
      </c>
      <c r="L474">
        <v>229.85</v>
      </c>
    </row>
    <row r="475" spans="11:12" x14ac:dyDescent="0.3">
      <c r="K475" t="str">
        <v>Table Model-860</v>
      </c>
      <c r="L475">
        <v>67.52</v>
      </c>
    </row>
    <row r="476" spans="11:12" x14ac:dyDescent="0.3">
      <c r="K476" t="str">
        <v>Phone Model-350</v>
      </c>
      <c r="L476">
        <v>136.11000000000001</v>
      </c>
    </row>
    <row r="477" spans="11:12" x14ac:dyDescent="0.3">
      <c r="K477" t="str">
        <v>Pen Model-525</v>
      </c>
      <c r="L477">
        <v>-132.61000000000001</v>
      </c>
    </row>
    <row r="478" spans="11:12" x14ac:dyDescent="0.3">
      <c r="K478" t="str">
        <v>Monitor Model-568</v>
      </c>
      <c r="L478">
        <v>71.41</v>
      </c>
    </row>
    <row r="479" spans="11:12" x14ac:dyDescent="0.3">
      <c r="K479" t="str">
        <v>Monitor Model-296</v>
      </c>
      <c r="L479">
        <v>-8.01</v>
      </c>
    </row>
    <row r="480" spans="11:12" x14ac:dyDescent="0.3">
      <c r="K480" t="str">
        <v>Stapler Model-276</v>
      </c>
      <c r="L480">
        <v>-33.06</v>
      </c>
    </row>
    <row r="481" spans="11:12" x14ac:dyDescent="0.3">
      <c r="K481" t="str">
        <v>Printer Model-298</v>
      </c>
      <c r="L481">
        <v>145.05000000000001</v>
      </c>
    </row>
    <row r="482" spans="11:12" x14ac:dyDescent="0.3">
      <c r="K482" t="str">
        <v>Paper Model-242</v>
      </c>
      <c r="L482">
        <v>127.52</v>
      </c>
    </row>
    <row r="483" spans="11:12" x14ac:dyDescent="0.3">
      <c r="K483" t="str">
        <v>Phone Model-128</v>
      </c>
      <c r="L483">
        <v>-6</v>
      </c>
    </row>
    <row r="484" spans="11:12" x14ac:dyDescent="0.3">
      <c r="K484" t="str">
        <v>Laptop Model-515</v>
      </c>
      <c r="L484">
        <v>5.09</v>
      </c>
    </row>
    <row r="485" spans="11:12" x14ac:dyDescent="0.3">
      <c r="K485" t="str">
        <v>Monitor Model-991</v>
      </c>
      <c r="L485">
        <v>-181.99</v>
      </c>
    </row>
    <row r="486" spans="11:12" x14ac:dyDescent="0.3">
      <c r="K486" t="str">
        <v>Bookcase Model-574</v>
      </c>
      <c r="L486">
        <v>77.045000000000002</v>
      </c>
    </row>
    <row r="487" spans="11:12" x14ac:dyDescent="0.3">
      <c r="K487" t="str">
        <v>Paper Model-754</v>
      </c>
      <c r="L487">
        <v>-161.26</v>
      </c>
    </row>
    <row r="488" spans="11:12" x14ac:dyDescent="0.3">
      <c r="K488" t="str">
        <v>Stapler Model-208</v>
      </c>
      <c r="L488">
        <v>22.54</v>
      </c>
    </row>
    <row r="489" spans="11:12" x14ac:dyDescent="0.3">
      <c r="K489" t="str">
        <v>Bookcase Model-580</v>
      </c>
      <c r="L489">
        <v>226.68</v>
      </c>
    </row>
    <row r="490" spans="11:12" x14ac:dyDescent="0.3">
      <c r="K490" t="str">
        <v>Pen Model-665</v>
      </c>
      <c r="L490">
        <v>288.18</v>
      </c>
    </row>
    <row r="491" spans="11:12" x14ac:dyDescent="0.3">
      <c r="K491" t="str">
        <v>Stapler Model-335</v>
      </c>
      <c r="L491">
        <v>-12.23</v>
      </c>
    </row>
    <row r="492" spans="11:12" x14ac:dyDescent="0.3">
      <c r="K492" t="str">
        <v>Sofa Model-225</v>
      </c>
      <c r="L492">
        <v>509.65</v>
      </c>
    </row>
    <row r="493" spans="11:12" x14ac:dyDescent="0.3">
      <c r="K493" t="str">
        <v>Laptop Model-122</v>
      </c>
      <c r="L493">
        <v>335.72</v>
      </c>
    </row>
    <row r="494" spans="11:12" x14ac:dyDescent="0.3">
      <c r="K494" t="str">
        <v>Pen Model-392</v>
      </c>
      <c r="L494">
        <v>-12.98</v>
      </c>
    </row>
    <row r="495" spans="11:12" x14ac:dyDescent="0.3">
      <c r="K495" t="str">
        <v>Pen Model-819</v>
      </c>
      <c r="L495">
        <v>-185.52</v>
      </c>
    </row>
    <row r="496" spans="11:12" x14ac:dyDescent="0.3">
      <c r="K496" t="str">
        <v>Bookcase Model-411</v>
      </c>
      <c r="L496">
        <v>14.89</v>
      </c>
    </row>
    <row r="497" spans="11:12" x14ac:dyDescent="0.3">
      <c r="K497" t="str">
        <v>Chair Model-319</v>
      </c>
      <c r="L497">
        <v>34.08</v>
      </c>
    </row>
    <row r="498" spans="11:12" x14ac:dyDescent="0.3">
      <c r="K498" t="str">
        <v>Pen Model-996</v>
      </c>
      <c r="L498">
        <v>-121.08</v>
      </c>
    </row>
    <row r="499" spans="11:12" x14ac:dyDescent="0.3">
      <c r="K499" t="str">
        <v>Binder Model-315</v>
      </c>
      <c r="L499">
        <v>58.82</v>
      </c>
    </row>
    <row r="500" spans="11:12" x14ac:dyDescent="0.3">
      <c r="K500" t="str">
        <v>Binder Model-175</v>
      </c>
      <c r="L500">
        <v>-106.24</v>
      </c>
    </row>
    <row r="501" spans="11:12" x14ac:dyDescent="0.3">
      <c r="K501" t="str">
        <v>Binder Model-150</v>
      </c>
      <c r="L501">
        <v>1.85</v>
      </c>
    </row>
    <row r="502" spans="11:12" x14ac:dyDescent="0.3">
      <c r="K502" t="str">
        <v>Binder Model-921</v>
      </c>
      <c r="L502">
        <v>197.65</v>
      </c>
    </row>
    <row r="503" spans="11:12" x14ac:dyDescent="0.3">
      <c r="K503" t="str">
        <v>Printer Model-829</v>
      </c>
      <c r="L503">
        <v>17.88</v>
      </c>
    </row>
    <row r="504" spans="11:12" x14ac:dyDescent="0.3">
      <c r="K504" t="str">
        <v>Sofa Model-221</v>
      </c>
      <c r="L504">
        <v>-6.23</v>
      </c>
    </row>
    <row r="505" spans="11:12" x14ac:dyDescent="0.3">
      <c r="K505" t="str">
        <v>Table Model-669</v>
      </c>
      <c r="L505">
        <v>-56.27</v>
      </c>
    </row>
    <row r="506" spans="11:12" x14ac:dyDescent="0.3">
      <c r="K506" t="str">
        <v>Stapler Model-836</v>
      </c>
      <c r="L506">
        <v>133.97</v>
      </c>
    </row>
    <row r="507" spans="11:12" x14ac:dyDescent="0.3">
      <c r="K507" t="str">
        <v>Binder Model-912</v>
      </c>
      <c r="L507">
        <v>118.35499999999999</v>
      </c>
    </row>
    <row r="508" spans="11:12" x14ac:dyDescent="0.3">
      <c r="K508" t="str">
        <v>Paper Model-199</v>
      </c>
      <c r="L508">
        <v>21</v>
      </c>
    </row>
    <row r="509" spans="11:12" x14ac:dyDescent="0.3">
      <c r="K509" t="str">
        <v>Phone Model-842</v>
      </c>
      <c r="L509">
        <v>-143.04</v>
      </c>
    </row>
    <row r="510" spans="11:12" x14ac:dyDescent="0.3">
      <c r="K510" t="str">
        <v>Pen Model-340</v>
      </c>
      <c r="L510">
        <v>-120.05</v>
      </c>
    </row>
    <row r="511" spans="11:12" x14ac:dyDescent="0.3">
      <c r="K511" t="str">
        <v>Sofa Model-341</v>
      </c>
      <c r="L511">
        <v>20.86</v>
      </c>
    </row>
    <row r="512" spans="11:12" x14ac:dyDescent="0.3">
      <c r="K512" t="str">
        <v>Printer Model-443</v>
      </c>
      <c r="L512">
        <v>6.36</v>
      </c>
    </row>
    <row r="513" spans="11:12" x14ac:dyDescent="0.3">
      <c r="K513" t="str">
        <v>Monitor Model-975</v>
      </c>
      <c r="L513">
        <v>210.80999999999997</v>
      </c>
    </row>
    <row r="514" spans="11:12" x14ac:dyDescent="0.3">
      <c r="K514" t="str">
        <v>Laptop Model-730</v>
      </c>
      <c r="L514">
        <v>58.99</v>
      </c>
    </row>
    <row r="515" spans="11:12" x14ac:dyDescent="0.3">
      <c r="K515" t="str">
        <v>Table Model-241</v>
      </c>
      <c r="L515">
        <v>150.29</v>
      </c>
    </row>
    <row r="516" spans="11:12" x14ac:dyDescent="0.3">
      <c r="K516" t="str">
        <v>Paper Model-173</v>
      </c>
      <c r="L516">
        <v>41.18</v>
      </c>
    </row>
    <row r="517" spans="11:12" x14ac:dyDescent="0.3">
      <c r="K517" t="str">
        <v>Table Model-123</v>
      </c>
      <c r="L517">
        <v>42.11</v>
      </c>
    </row>
    <row r="518" spans="11:12" x14ac:dyDescent="0.3">
      <c r="K518" t="str">
        <v>Monitor Model-974</v>
      </c>
      <c r="L518">
        <v>48.62</v>
      </c>
    </row>
    <row r="519" spans="11:12" x14ac:dyDescent="0.3">
      <c r="K519" t="str">
        <v>Sofa Model-341</v>
      </c>
      <c r="L519">
        <v>20.86</v>
      </c>
    </row>
    <row r="520" spans="11:12" x14ac:dyDescent="0.3">
      <c r="K520" t="str">
        <v>Binder Model-263</v>
      </c>
      <c r="L520">
        <v>68.69</v>
      </c>
    </row>
    <row r="521" spans="11:12" x14ac:dyDescent="0.3">
      <c r="K521" t="str">
        <v>Stapler Model-331</v>
      </c>
      <c r="L521">
        <v>276.22000000000003</v>
      </c>
    </row>
    <row r="522" spans="11:12" x14ac:dyDescent="0.3">
      <c r="K522" t="str">
        <v>Phone Model-391</v>
      </c>
      <c r="L522">
        <v>54.55</v>
      </c>
    </row>
    <row r="523" spans="11:12" x14ac:dyDescent="0.3">
      <c r="K523" t="str">
        <v>Phone Model-580</v>
      </c>
      <c r="L523">
        <v>85.65</v>
      </c>
    </row>
    <row r="524" spans="11:12" x14ac:dyDescent="0.3">
      <c r="K524" t="str">
        <v>Table Model-835</v>
      </c>
      <c r="L524">
        <v>92.83</v>
      </c>
    </row>
    <row r="525" spans="11:12" x14ac:dyDescent="0.3">
      <c r="K525" t="str">
        <v>Chair Model-149</v>
      </c>
      <c r="L525">
        <v>86.93</v>
      </c>
    </row>
    <row r="526" spans="11:12" x14ac:dyDescent="0.3">
      <c r="K526" t="str">
        <v>Printer Model-410</v>
      </c>
      <c r="L526">
        <v>-7.43</v>
      </c>
    </row>
    <row r="527" spans="11:12" x14ac:dyDescent="0.3">
      <c r="K527" t="str">
        <v>Chair Model-741</v>
      </c>
      <c r="L527">
        <v>65.78</v>
      </c>
    </row>
    <row r="528" spans="11:12" x14ac:dyDescent="0.3">
      <c r="K528" t="str">
        <v>Stapler Model-406</v>
      </c>
      <c r="L528">
        <v>85.15</v>
      </c>
    </row>
    <row r="529" spans="11:12" x14ac:dyDescent="0.3">
      <c r="K529" t="str">
        <v>Paper Model-424</v>
      </c>
      <c r="L529">
        <v>47.52</v>
      </c>
    </row>
    <row r="530" spans="11:12" x14ac:dyDescent="0.3">
      <c r="K530" t="str">
        <v>Laptop Model-867</v>
      </c>
      <c r="L530">
        <v>108.22</v>
      </c>
    </row>
  </sheetData>
  <mergeCells count="11">
    <mergeCell ref="G36:I36"/>
    <mergeCell ref="G39:I39"/>
    <mergeCell ref="G42:I42"/>
    <mergeCell ref="G58:I58"/>
    <mergeCell ref="G64:I70"/>
    <mergeCell ref="G2:J2"/>
    <mergeCell ref="G13:I13"/>
    <mergeCell ref="G21:K21"/>
    <mergeCell ref="G30:I30"/>
    <mergeCell ref="G33:I33"/>
    <mergeCell ref="K30:L30"/>
  </mergeCells>
  <conditionalFormatting sqref="G22:K26">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E2B9D-5825-44B6-BB05-49261188820B}">
  <dimension ref="A2:S571"/>
  <sheetViews>
    <sheetView showGridLines="0" topLeftCell="A64" workbookViewId="0">
      <selection activeCell="B69" sqref="B69"/>
    </sheetView>
  </sheetViews>
  <sheetFormatPr defaultRowHeight="14.4" x14ac:dyDescent="0.3"/>
  <cols>
    <col min="1" max="1" width="14.33203125" bestFit="1" customWidth="1"/>
    <col min="2" max="2" width="11.33203125" bestFit="1" customWidth="1"/>
    <col min="3" max="3" width="9.5546875" bestFit="1" customWidth="1"/>
    <col min="5" max="5" width="10.33203125" style="20" bestFit="1" customWidth="1"/>
    <col min="6" max="6" width="12.6640625" bestFit="1" customWidth="1"/>
    <col min="8" max="8" width="9.5546875" bestFit="1" customWidth="1"/>
    <col min="13" max="13" width="8" bestFit="1" customWidth="1"/>
  </cols>
  <sheetData>
    <row r="2" spans="2:18" ht="18" x14ac:dyDescent="0.35">
      <c r="B2" s="61" t="s">
        <v>1377</v>
      </c>
      <c r="C2" s="61"/>
      <c r="D2" s="61"/>
      <c r="E2" s="61"/>
      <c r="F2" s="61"/>
      <c r="G2" s="61"/>
      <c r="H2" s="61"/>
      <c r="I2" s="61"/>
      <c r="J2" s="61"/>
      <c r="K2" s="61"/>
      <c r="L2" s="61"/>
      <c r="M2" s="61"/>
      <c r="N2" s="61"/>
      <c r="O2" s="61"/>
      <c r="P2" s="61"/>
      <c r="Q2" s="61"/>
      <c r="R2" s="61"/>
    </row>
    <row r="3" spans="2:18" x14ac:dyDescent="0.3">
      <c r="E3"/>
    </row>
    <row r="4" spans="2:18" x14ac:dyDescent="0.3">
      <c r="E4"/>
    </row>
    <row r="5" spans="2:18" x14ac:dyDescent="0.3">
      <c r="E5"/>
    </row>
    <row r="6" spans="2:18" x14ac:dyDescent="0.3">
      <c r="E6"/>
    </row>
    <row r="7" spans="2:18" x14ac:dyDescent="0.3">
      <c r="E7"/>
    </row>
    <row r="8" spans="2:18" x14ac:dyDescent="0.3">
      <c r="E8"/>
    </row>
    <row r="9" spans="2:18" x14ac:dyDescent="0.3">
      <c r="E9"/>
    </row>
    <row r="10" spans="2:18" x14ac:dyDescent="0.3">
      <c r="E10"/>
    </row>
    <row r="11" spans="2:18" x14ac:dyDescent="0.3">
      <c r="E11"/>
    </row>
    <row r="12" spans="2:18" x14ac:dyDescent="0.3">
      <c r="E12"/>
    </row>
    <row r="13" spans="2:18" x14ac:dyDescent="0.3">
      <c r="E13"/>
    </row>
    <row r="14" spans="2:18" x14ac:dyDescent="0.3">
      <c r="E14"/>
    </row>
    <row r="15" spans="2:18" x14ac:dyDescent="0.3">
      <c r="E15"/>
    </row>
    <row r="16" spans="2:18" x14ac:dyDescent="0.3">
      <c r="E16"/>
    </row>
    <row r="17" spans="2:19" x14ac:dyDescent="0.3">
      <c r="E17"/>
    </row>
    <row r="18" spans="2:19" x14ac:dyDescent="0.3">
      <c r="E18"/>
    </row>
    <row r="19" spans="2:19" x14ac:dyDescent="0.3">
      <c r="E19"/>
    </row>
    <row r="20" spans="2:19" x14ac:dyDescent="0.3">
      <c r="E20"/>
    </row>
    <row r="21" spans="2:19" x14ac:dyDescent="0.3">
      <c r="E21"/>
    </row>
    <row r="22" spans="2:19" x14ac:dyDescent="0.3">
      <c r="E22"/>
    </row>
    <row r="23" spans="2:19" ht="18" x14ac:dyDescent="0.35">
      <c r="B23" s="61" t="s">
        <v>1379</v>
      </c>
      <c r="C23" s="61"/>
      <c r="D23" s="61"/>
      <c r="E23" s="61"/>
      <c r="F23" s="61"/>
      <c r="G23" s="61"/>
      <c r="H23" s="61"/>
      <c r="I23" s="61"/>
      <c r="J23" s="61"/>
      <c r="K23" s="61"/>
      <c r="L23" s="61"/>
      <c r="M23" s="61"/>
      <c r="N23" s="61"/>
      <c r="O23" s="61"/>
      <c r="P23" s="61"/>
      <c r="Q23" s="61"/>
      <c r="R23" s="61"/>
      <c r="S23" s="61"/>
    </row>
    <row r="24" spans="2:19" x14ac:dyDescent="0.3">
      <c r="E24"/>
    </row>
    <row r="25" spans="2:19" x14ac:dyDescent="0.3">
      <c r="E25"/>
    </row>
    <row r="26" spans="2:19" x14ac:dyDescent="0.3">
      <c r="B26" s="36" t="s">
        <v>1342</v>
      </c>
      <c r="C26" s="36" t="s">
        <v>1333</v>
      </c>
      <c r="D26" s="36" t="s">
        <v>1339</v>
      </c>
      <c r="E26" s="36" t="s">
        <v>1364</v>
      </c>
      <c r="F26" s="36" t="s">
        <v>1365</v>
      </c>
    </row>
    <row r="27" spans="2:19" x14ac:dyDescent="0.3">
      <c r="B27" t="s">
        <v>1347</v>
      </c>
      <c r="C27">
        <v>43951.5</v>
      </c>
      <c r="D27">
        <v>3679.03</v>
      </c>
      <c r="E27"/>
    </row>
    <row r="28" spans="2:19" x14ac:dyDescent="0.3">
      <c r="B28" t="s">
        <v>1346</v>
      </c>
      <c r="C28">
        <v>34016.740000000005</v>
      </c>
      <c r="D28">
        <v>2644.1299999999997</v>
      </c>
      <c r="E28">
        <f t="shared" ref="E28:E38" si="0">(C28-C27)/C27</f>
        <v>-0.22603915679783385</v>
      </c>
      <c r="F28">
        <f t="shared" ref="F28:F38" si="1">(D28-D27)/D27</f>
        <v>-0.28129697229976391</v>
      </c>
    </row>
    <row r="29" spans="2:19" x14ac:dyDescent="0.3">
      <c r="B29" t="s">
        <v>1350</v>
      </c>
      <c r="C29">
        <v>52376.79</v>
      </c>
      <c r="D29">
        <v>3872.1499999999996</v>
      </c>
      <c r="E29">
        <f t="shared" si="0"/>
        <v>0.5397357301140554</v>
      </c>
      <c r="F29">
        <f t="shared" si="1"/>
        <v>0.46443253546535163</v>
      </c>
    </row>
    <row r="30" spans="2:19" x14ac:dyDescent="0.3">
      <c r="B30" t="s">
        <v>1343</v>
      </c>
      <c r="C30">
        <v>35133.75</v>
      </c>
      <c r="D30">
        <v>2847.8599999999997</v>
      </c>
      <c r="E30">
        <f t="shared" si="0"/>
        <v>-0.32921146943140273</v>
      </c>
      <c r="F30">
        <f t="shared" si="1"/>
        <v>-0.26452745890525936</v>
      </c>
    </row>
    <row r="31" spans="2:19" x14ac:dyDescent="0.3">
      <c r="B31" t="s">
        <v>1351</v>
      </c>
      <c r="C31">
        <v>34616.54</v>
      </c>
      <c r="D31">
        <v>2197.09</v>
      </c>
      <c r="E31">
        <f t="shared" si="0"/>
        <v>-1.4721172661614519E-2</v>
      </c>
      <c r="F31">
        <f t="shared" si="1"/>
        <v>-0.22851193527771715</v>
      </c>
    </row>
    <row r="32" spans="2:19" x14ac:dyDescent="0.3">
      <c r="B32" t="s">
        <v>1349</v>
      </c>
      <c r="C32">
        <v>42426.909999999996</v>
      </c>
      <c r="D32">
        <v>2204.5400000000009</v>
      </c>
      <c r="E32">
        <f t="shared" si="0"/>
        <v>0.22562538023730838</v>
      </c>
      <c r="F32">
        <f t="shared" si="1"/>
        <v>3.3908488045554471E-3</v>
      </c>
    </row>
    <row r="33" spans="2:16" x14ac:dyDescent="0.3">
      <c r="B33" t="s">
        <v>1348</v>
      </c>
      <c r="C33">
        <v>49607.689999999995</v>
      </c>
      <c r="D33">
        <v>2717.8499999999995</v>
      </c>
      <c r="E33">
        <f t="shared" si="0"/>
        <v>0.16925060062116234</v>
      </c>
      <c r="F33">
        <f t="shared" si="1"/>
        <v>0.23284222558901102</v>
      </c>
    </row>
    <row r="34" spans="2:16" x14ac:dyDescent="0.3">
      <c r="B34" t="s">
        <v>1344</v>
      </c>
      <c r="C34">
        <v>38604.12000000001</v>
      </c>
      <c r="D34">
        <v>3836.75</v>
      </c>
      <c r="E34">
        <f t="shared" si="0"/>
        <v>-0.22181177958497938</v>
      </c>
      <c r="F34">
        <f t="shared" si="1"/>
        <v>0.41168570745258226</v>
      </c>
    </row>
    <row r="35" spans="2:16" x14ac:dyDescent="0.3">
      <c r="B35" t="s">
        <v>1354</v>
      </c>
      <c r="C35">
        <v>38863.31</v>
      </c>
      <c r="D35">
        <v>3099.0999999999985</v>
      </c>
      <c r="E35">
        <f t="shared" si="0"/>
        <v>6.7140502101845009E-3</v>
      </c>
      <c r="F35">
        <f t="shared" si="1"/>
        <v>-0.19225907343454784</v>
      </c>
    </row>
    <row r="36" spans="2:16" x14ac:dyDescent="0.3">
      <c r="B36" t="s">
        <v>1353</v>
      </c>
      <c r="C36">
        <v>53110.19999999999</v>
      </c>
      <c r="D36">
        <v>1916.4299999999998</v>
      </c>
      <c r="E36">
        <f t="shared" si="0"/>
        <v>0.36658972177099669</v>
      </c>
      <c r="F36">
        <f t="shared" si="1"/>
        <v>-0.38161724371591726</v>
      </c>
    </row>
    <row r="37" spans="2:16" x14ac:dyDescent="0.3">
      <c r="B37" t="s">
        <v>1352</v>
      </c>
      <c r="C37">
        <v>36643.280000000006</v>
      </c>
      <c r="D37">
        <v>2186.5500000000006</v>
      </c>
      <c r="E37">
        <f t="shared" si="0"/>
        <v>-0.31005192976113793</v>
      </c>
      <c r="F37">
        <f t="shared" si="1"/>
        <v>0.14094957812182068</v>
      </c>
    </row>
    <row r="38" spans="2:16" x14ac:dyDescent="0.3">
      <c r="B38" t="s">
        <v>1345</v>
      </c>
      <c r="C38">
        <v>39230.5</v>
      </c>
      <c r="D38">
        <v>2896.7300000000009</v>
      </c>
      <c r="E38">
        <f t="shared" si="0"/>
        <v>7.0605578976554326E-2</v>
      </c>
      <c r="F38">
        <f t="shared" si="1"/>
        <v>0.32479476801353735</v>
      </c>
    </row>
    <row r="39" spans="2:16" x14ac:dyDescent="0.3">
      <c r="E39"/>
    </row>
    <row r="40" spans="2:16" x14ac:dyDescent="0.3">
      <c r="E40"/>
    </row>
    <row r="41" spans="2:16" x14ac:dyDescent="0.3">
      <c r="B41" s="60" t="s">
        <v>1367</v>
      </c>
      <c r="C41" s="60"/>
      <c r="D41" s="60"/>
      <c r="E41" s="60"/>
      <c r="F41" s="60"/>
      <c r="G41" s="60"/>
      <c r="H41" s="60"/>
      <c r="I41" s="60"/>
      <c r="J41" s="60"/>
      <c r="K41" s="60"/>
      <c r="L41" s="60"/>
      <c r="M41" s="60"/>
      <c r="N41" s="60"/>
      <c r="O41" s="60"/>
      <c r="P41" s="60"/>
    </row>
    <row r="42" spans="2:16" x14ac:dyDescent="0.3">
      <c r="B42" s="60"/>
      <c r="C42" s="60"/>
      <c r="D42" s="60"/>
      <c r="E42" s="60"/>
      <c r="F42" s="60"/>
      <c r="G42" s="60"/>
      <c r="H42" s="60"/>
      <c r="I42" s="60"/>
      <c r="J42" s="60"/>
      <c r="K42" s="60"/>
      <c r="L42" s="60"/>
      <c r="M42" s="60"/>
      <c r="N42" s="60"/>
      <c r="O42" s="60"/>
      <c r="P42" s="60"/>
    </row>
    <row r="43" spans="2:16" x14ac:dyDescent="0.3">
      <c r="E43"/>
      <c r="F43" t="str" cm="1">
        <f t="array" ref="F43:G67">_xlfn.LET(_xlpm.product,Data!G2:G501,
_xlpm.Sales,Data!H2:H501,
_xlpm.uniq_prod,_xlfn.UNIQUE(_xlpm.product),
_xlpm.prod_sales,_xlfn.MAP(_xlpm.uniq_prod,_xlfn.LAMBDA(_xlpm.p,SUMIFS(_xlpm.Sales,_xlpm.product,_xlpm.p))),
_xlpm.sorted,_xlfn.SORTBY(_xlfn.HSTACK(_xlpm.uniq_prod,_xlpm.prod_sales),_xlpm.prod_sales,-1),
_xlpm.total_sales,SUM(_xlpm.prod_sales),
_xlpm.cumulative,_xlfn.SCAN(0,INDEX(_xlpm.sorted,,2),_xlfn.LAMBDA(_xlpm.a,_xlpm.b,_xlpm.a+_xlpm.b)),
_xlpm.percent,_xlpm.cumulative/_xlpm.total_sales,
_xlpm.top10pct,_xlfn._xlws.FILTER(_xlpm.sorted,_xlpm.percent &lt;=0.1),
_xlfn.VSTACK({"Product","Sales"},_xlpm.top10pct))</f>
        <v>Product</v>
      </c>
      <c r="G43" t="str">
        <v>Sales</v>
      </c>
    </row>
    <row r="44" spans="2:16" x14ac:dyDescent="0.3">
      <c r="E44"/>
      <c r="F44" t="str">
        <v>Monitor Model-975</v>
      </c>
      <c r="G44">
        <v>3206.52</v>
      </c>
    </row>
    <row r="45" spans="2:16" x14ac:dyDescent="0.3">
      <c r="E45"/>
      <c r="F45" t="str">
        <v>Laptop Model-983</v>
      </c>
      <c r="G45">
        <v>3034.31</v>
      </c>
    </row>
    <row r="46" spans="2:16" x14ac:dyDescent="0.3">
      <c r="E46"/>
      <c r="F46" t="str">
        <v>Pen Model-106</v>
      </c>
      <c r="G46">
        <v>2301.3000000000002</v>
      </c>
    </row>
    <row r="47" spans="2:16" x14ac:dyDescent="0.3">
      <c r="E47"/>
      <c r="F47" t="str">
        <v>Table Model-123</v>
      </c>
      <c r="G47">
        <v>1996</v>
      </c>
    </row>
    <row r="48" spans="2:16" x14ac:dyDescent="0.3">
      <c r="E48"/>
      <c r="F48" t="str">
        <v>Binder Model-791</v>
      </c>
      <c r="G48">
        <v>1995.65</v>
      </c>
    </row>
    <row r="49" spans="5:7" x14ac:dyDescent="0.3">
      <c r="E49"/>
      <c r="F49" t="str">
        <v>Chair Model-955</v>
      </c>
      <c r="G49">
        <v>1995.19</v>
      </c>
    </row>
    <row r="50" spans="5:7" x14ac:dyDescent="0.3">
      <c r="E50"/>
      <c r="F50" t="str">
        <v>Pen Model-180</v>
      </c>
      <c r="G50">
        <v>1991.69</v>
      </c>
    </row>
    <row r="51" spans="5:7" x14ac:dyDescent="0.3">
      <c r="E51"/>
      <c r="F51" t="str">
        <v>Bookcase Model-958</v>
      </c>
      <c r="G51">
        <v>1991.29</v>
      </c>
    </row>
    <row r="52" spans="5:7" x14ac:dyDescent="0.3">
      <c r="E52"/>
      <c r="F52" t="str">
        <v>Phone Model-832</v>
      </c>
      <c r="G52">
        <v>1990.61</v>
      </c>
    </row>
    <row r="53" spans="5:7" x14ac:dyDescent="0.3">
      <c r="E53"/>
      <c r="F53" t="str">
        <v>Stapler Model-820</v>
      </c>
      <c r="G53">
        <v>1981.38</v>
      </c>
    </row>
    <row r="54" spans="5:7" x14ac:dyDescent="0.3">
      <c r="E54"/>
      <c r="F54" t="str">
        <v>Bookcase Model-286</v>
      </c>
      <c r="G54">
        <v>1975.41</v>
      </c>
    </row>
    <row r="55" spans="5:7" x14ac:dyDescent="0.3">
      <c r="E55"/>
      <c r="F55" t="str">
        <v>Table Model-829</v>
      </c>
      <c r="G55">
        <v>1973.94</v>
      </c>
    </row>
    <row r="56" spans="5:7" x14ac:dyDescent="0.3">
      <c r="E56"/>
      <c r="F56" t="str">
        <v>Pen Model-652</v>
      </c>
      <c r="G56">
        <v>1969.98</v>
      </c>
    </row>
    <row r="57" spans="5:7" x14ac:dyDescent="0.3">
      <c r="E57"/>
      <c r="F57" t="str">
        <v>Chair Model-407</v>
      </c>
      <c r="G57">
        <v>1957.63</v>
      </c>
    </row>
    <row r="58" spans="5:7" x14ac:dyDescent="0.3">
      <c r="E58"/>
      <c r="F58" t="str">
        <v>Binder Model-605</v>
      </c>
      <c r="G58">
        <v>1951.6</v>
      </c>
    </row>
    <row r="59" spans="5:7" x14ac:dyDescent="0.3">
      <c r="E59"/>
      <c r="F59" t="str">
        <v>Bookcase Model-574</v>
      </c>
      <c r="G59">
        <v>1949.15</v>
      </c>
    </row>
    <row r="60" spans="5:7" x14ac:dyDescent="0.3">
      <c r="E60"/>
      <c r="F60" t="str">
        <v>Paper Model-913</v>
      </c>
      <c r="G60">
        <v>1948.72</v>
      </c>
    </row>
    <row r="61" spans="5:7" x14ac:dyDescent="0.3">
      <c r="E61"/>
      <c r="F61" t="str">
        <v>Table Model-276</v>
      </c>
      <c r="G61">
        <v>1946.61</v>
      </c>
    </row>
    <row r="62" spans="5:7" x14ac:dyDescent="0.3">
      <c r="E62"/>
      <c r="F62" t="str">
        <v>Laptop Model-106</v>
      </c>
      <c r="G62">
        <v>1943.58</v>
      </c>
    </row>
    <row r="63" spans="5:7" x14ac:dyDescent="0.3">
      <c r="E63"/>
      <c r="F63" t="str">
        <v>Stapler Model-312</v>
      </c>
      <c r="G63">
        <v>1942.59</v>
      </c>
    </row>
    <row r="64" spans="5:7" x14ac:dyDescent="0.3">
      <c r="E64"/>
      <c r="F64" t="str">
        <v>Stapler Model-394</v>
      </c>
      <c r="G64">
        <v>1940.92</v>
      </c>
    </row>
    <row r="65" spans="1:7" x14ac:dyDescent="0.3">
      <c r="E65"/>
      <c r="F65" t="str">
        <v>Phone Model-788</v>
      </c>
      <c r="G65">
        <v>1931.57</v>
      </c>
    </row>
    <row r="66" spans="1:7" x14ac:dyDescent="0.3">
      <c r="E66"/>
      <c r="F66" t="str">
        <v>Bookcase Model-237</v>
      </c>
      <c r="G66">
        <v>1928.8799999999999</v>
      </c>
    </row>
    <row r="67" spans="1:7" x14ac:dyDescent="0.3">
      <c r="E67"/>
      <c r="F67" t="str">
        <v>Table Model-669</v>
      </c>
      <c r="G67">
        <v>1922.9</v>
      </c>
    </row>
    <row r="68" spans="1:7" x14ac:dyDescent="0.3">
      <c r="E68"/>
    </row>
    <row r="69" spans="1:7" ht="31.8" customHeight="1" x14ac:dyDescent="0.3">
      <c r="E69"/>
    </row>
    <row r="70" spans="1:7" ht="16.2" customHeight="1" x14ac:dyDescent="0.3">
      <c r="E70"/>
    </row>
    <row r="71" spans="1:7" x14ac:dyDescent="0.3">
      <c r="E71"/>
    </row>
    <row r="72" spans="1:7" x14ac:dyDescent="0.3">
      <c r="E72"/>
    </row>
    <row r="73" spans="1:7" x14ac:dyDescent="0.3">
      <c r="A73" s="20"/>
      <c r="E73"/>
    </row>
    <row r="74" spans="1:7" x14ac:dyDescent="0.3">
      <c r="E74"/>
    </row>
    <row r="75" spans="1:7" x14ac:dyDescent="0.3">
      <c r="E75"/>
    </row>
    <row r="76" spans="1:7" x14ac:dyDescent="0.3">
      <c r="E76"/>
    </row>
    <row r="77" spans="1:7" x14ac:dyDescent="0.3">
      <c r="E77"/>
    </row>
    <row r="78" spans="1:7" x14ac:dyDescent="0.3">
      <c r="E78"/>
    </row>
    <row r="79" spans="1:7" x14ac:dyDescent="0.3">
      <c r="E79"/>
    </row>
    <row r="80" spans="1:7" x14ac:dyDescent="0.3">
      <c r="E80"/>
    </row>
    <row r="81" spans="5:5" x14ac:dyDescent="0.3">
      <c r="E81"/>
    </row>
    <row r="82" spans="5:5" x14ac:dyDescent="0.3">
      <c r="E82"/>
    </row>
    <row r="83" spans="5:5" x14ac:dyDescent="0.3">
      <c r="E83"/>
    </row>
    <row r="84" spans="5:5" x14ac:dyDescent="0.3">
      <c r="E84"/>
    </row>
    <row r="85" spans="5:5" x14ac:dyDescent="0.3">
      <c r="E85"/>
    </row>
    <row r="86" spans="5:5" x14ac:dyDescent="0.3">
      <c r="E86"/>
    </row>
    <row r="87" spans="5:5" x14ac:dyDescent="0.3">
      <c r="E87"/>
    </row>
    <row r="88" spans="5:5" x14ac:dyDescent="0.3">
      <c r="E88"/>
    </row>
    <row r="89" spans="5:5" x14ac:dyDescent="0.3">
      <c r="E89"/>
    </row>
    <row r="90" spans="5:5" x14ac:dyDescent="0.3">
      <c r="E90"/>
    </row>
    <row r="91" spans="5:5" x14ac:dyDescent="0.3">
      <c r="E91"/>
    </row>
    <row r="92" spans="5:5" x14ac:dyDescent="0.3">
      <c r="E92"/>
    </row>
    <row r="93" spans="5:5" x14ac:dyDescent="0.3">
      <c r="E93"/>
    </row>
    <row r="94" spans="5:5" x14ac:dyDescent="0.3">
      <c r="E94"/>
    </row>
    <row r="95" spans="5:5" x14ac:dyDescent="0.3">
      <c r="E95"/>
    </row>
    <row r="96" spans="5:5" x14ac:dyDescent="0.3">
      <c r="E96"/>
    </row>
    <row r="97" spans="5:5" x14ac:dyDescent="0.3">
      <c r="E97"/>
    </row>
    <row r="98" spans="5:5" x14ac:dyDescent="0.3">
      <c r="E98"/>
    </row>
    <row r="99" spans="5:5" x14ac:dyDescent="0.3">
      <c r="E99"/>
    </row>
    <row r="100" spans="5:5" x14ac:dyDescent="0.3">
      <c r="E100"/>
    </row>
    <row r="101" spans="5:5" x14ac:dyDescent="0.3">
      <c r="E101"/>
    </row>
    <row r="102" spans="5:5" x14ac:dyDescent="0.3">
      <c r="E102"/>
    </row>
    <row r="103" spans="5:5" x14ac:dyDescent="0.3">
      <c r="E103"/>
    </row>
    <row r="104" spans="5:5" x14ac:dyDescent="0.3">
      <c r="E104"/>
    </row>
    <row r="105" spans="5:5" x14ac:dyDescent="0.3">
      <c r="E105"/>
    </row>
    <row r="106" spans="5:5" x14ac:dyDescent="0.3">
      <c r="E106"/>
    </row>
    <row r="107" spans="5:5" x14ac:dyDescent="0.3">
      <c r="E107"/>
    </row>
    <row r="108" spans="5:5" x14ac:dyDescent="0.3">
      <c r="E108"/>
    </row>
    <row r="109" spans="5:5" x14ac:dyDescent="0.3">
      <c r="E109"/>
    </row>
    <row r="110" spans="5:5" x14ac:dyDescent="0.3">
      <c r="E110"/>
    </row>
    <row r="111" spans="5:5" x14ac:dyDescent="0.3">
      <c r="E111"/>
    </row>
    <row r="112" spans="5:5" x14ac:dyDescent="0.3">
      <c r="E112"/>
    </row>
    <row r="113" spans="5:5" x14ac:dyDescent="0.3">
      <c r="E113"/>
    </row>
    <row r="114" spans="5:5" x14ac:dyDescent="0.3">
      <c r="E114"/>
    </row>
    <row r="115" spans="5:5" x14ac:dyDescent="0.3">
      <c r="E115"/>
    </row>
    <row r="116" spans="5:5" x14ac:dyDescent="0.3">
      <c r="E116"/>
    </row>
    <row r="117" spans="5:5" x14ac:dyDescent="0.3">
      <c r="E117"/>
    </row>
    <row r="118" spans="5:5" x14ac:dyDescent="0.3">
      <c r="E118"/>
    </row>
    <row r="119" spans="5:5" x14ac:dyDescent="0.3">
      <c r="E119"/>
    </row>
    <row r="120" spans="5:5" x14ac:dyDescent="0.3">
      <c r="E120"/>
    </row>
    <row r="121" spans="5:5" x14ac:dyDescent="0.3">
      <c r="E121"/>
    </row>
    <row r="122" spans="5:5" x14ac:dyDescent="0.3">
      <c r="E122"/>
    </row>
    <row r="123" spans="5:5" x14ac:dyDescent="0.3">
      <c r="E123"/>
    </row>
    <row r="124" spans="5:5" x14ac:dyDescent="0.3">
      <c r="E124"/>
    </row>
    <row r="125" spans="5:5" x14ac:dyDescent="0.3">
      <c r="E125"/>
    </row>
    <row r="126" spans="5:5" x14ac:dyDescent="0.3">
      <c r="E126"/>
    </row>
    <row r="127" spans="5:5" x14ac:dyDescent="0.3">
      <c r="E127"/>
    </row>
    <row r="128" spans="5:5" x14ac:dyDescent="0.3">
      <c r="E128"/>
    </row>
    <row r="129" spans="5:5" x14ac:dyDescent="0.3">
      <c r="E129"/>
    </row>
    <row r="130" spans="5:5" x14ac:dyDescent="0.3">
      <c r="E130"/>
    </row>
    <row r="131" spans="5:5" x14ac:dyDescent="0.3">
      <c r="E131"/>
    </row>
    <row r="132" spans="5:5" x14ac:dyDescent="0.3">
      <c r="E132"/>
    </row>
    <row r="133" spans="5:5" x14ac:dyDescent="0.3">
      <c r="E133"/>
    </row>
    <row r="134" spans="5:5" x14ac:dyDescent="0.3">
      <c r="E134"/>
    </row>
    <row r="135" spans="5:5" x14ac:dyDescent="0.3">
      <c r="E135"/>
    </row>
    <row r="136" spans="5:5" x14ac:dyDescent="0.3">
      <c r="E136"/>
    </row>
    <row r="137" spans="5:5" x14ac:dyDescent="0.3">
      <c r="E137"/>
    </row>
    <row r="138" spans="5:5" x14ac:dyDescent="0.3">
      <c r="E138"/>
    </row>
    <row r="139" spans="5:5" x14ac:dyDescent="0.3">
      <c r="E139"/>
    </row>
    <row r="140" spans="5:5" x14ac:dyDescent="0.3">
      <c r="E140"/>
    </row>
    <row r="141" spans="5:5" x14ac:dyDescent="0.3">
      <c r="E141"/>
    </row>
    <row r="142" spans="5:5" x14ac:dyDescent="0.3">
      <c r="E142"/>
    </row>
    <row r="143" spans="5:5" x14ac:dyDescent="0.3">
      <c r="E143"/>
    </row>
    <row r="144" spans="5:5" x14ac:dyDescent="0.3">
      <c r="E144"/>
    </row>
    <row r="145" spans="5:5" x14ac:dyDescent="0.3">
      <c r="E145"/>
    </row>
    <row r="146" spans="5:5" x14ac:dyDescent="0.3">
      <c r="E146"/>
    </row>
    <row r="147" spans="5:5" x14ac:dyDescent="0.3">
      <c r="E147"/>
    </row>
    <row r="148" spans="5:5" x14ac:dyDescent="0.3">
      <c r="E148"/>
    </row>
    <row r="149" spans="5:5" x14ac:dyDescent="0.3">
      <c r="E149"/>
    </row>
    <row r="150" spans="5:5" x14ac:dyDescent="0.3">
      <c r="E150"/>
    </row>
    <row r="151" spans="5:5" x14ac:dyDescent="0.3">
      <c r="E151"/>
    </row>
    <row r="152" spans="5:5" x14ac:dyDescent="0.3">
      <c r="E152"/>
    </row>
    <row r="153" spans="5:5" x14ac:dyDescent="0.3">
      <c r="E153"/>
    </row>
    <row r="154" spans="5:5" x14ac:dyDescent="0.3">
      <c r="E154"/>
    </row>
    <row r="155" spans="5:5" x14ac:dyDescent="0.3">
      <c r="E155"/>
    </row>
    <row r="156" spans="5:5" x14ac:dyDescent="0.3">
      <c r="E156"/>
    </row>
    <row r="157" spans="5:5" x14ac:dyDescent="0.3">
      <c r="E157"/>
    </row>
    <row r="158" spans="5:5" x14ac:dyDescent="0.3">
      <c r="E158"/>
    </row>
    <row r="159" spans="5:5" x14ac:dyDescent="0.3">
      <c r="E159"/>
    </row>
    <row r="160" spans="5:5" x14ac:dyDescent="0.3">
      <c r="E160"/>
    </row>
    <row r="161" spans="5:5" x14ac:dyDescent="0.3">
      <c r="E161"/>
    </row>
    <row r="162" spans="5:5" x14ac:dyDescent="0.3">
      <c r="E162"/>
    </row>
    <row r="163" spans="5:5" x14ac:dyDescent="0.3">
      <c r="E163"/>
    </row>
    <row r="164" spans="5:5" x14ac:dyDescent="0.3">
      <c r="E164"/>
    </row>
    <row r="165" spans="5:5" x14ac:dyDescent="0.3">
      <c r="E165"/>
    </row>
    <row r="166" spans="5:5" x14ac:dyDescent="0.3">
      <c r="E166"/>
    </row>
    <row r="167" spans="5:5" x14ac:dyDescent="0.3">
      <c r="E167"/>
    </row>
    <row r="168" spans="5:5" x14ac:dyDescent="0.3">
      <c r="E168"/>
    </row>
    <row r="169" spans="5:5" x14ac:dyDescent="0.3">
      <c r="E169"/>
    </row>
    <row r="170" spans="5:5" x14ac:dyDescent="0.3">
      <c r="E170"/>
    </row>
    <row r="171" spans="5:5" x14ac:dyDescent="0.3">
      <c r="E171"/>
    </row>
    <row r="172" spans="5:5" x14ac:dyDescent="0.3">
      <c r="E172"/>
    </row>
    <row r="173" spans="5:5" x14ac:dyDescent="0.3">
      <c r="E173"/>
    </row>
    <row r="174" spans="5:5" x14ac:dyDescent="0.3">
      <c r="E174"/>
    </row>
    <row r="175" spans="5:5" x14ac:dyDescent="0.3">
      <c r="E175"/>
    </row>
    <row r="176" spans="5:5" x14ac:dyDescent="0.3">
      <c r="E176"/>
    </row>
    <row r="177" spans="5:5" x14ac:dyDescent="0.3">
      <c r="E177"/>
    </row>
    <row r="178" spans="5:5" x14ac:dyDescent="0.3">
      <c r="E178"/>
    </row>
    <row r="179" spans="5:5" x14ac:dyDescent="0.3">
      <c r="E179"/>
    </row>
    <row r="180" spans="5:5" x14ac:dyDescent="0.3">
      <c r="E180"/>
    </row>
    <row r="181" spans="5:5" x14ac:dyDescent="0.3">
      <c r="E181"/>
    </row>
    <row r="182" spans="5:5" x14ac:dyDescent="0.3">
      <c r="E182"/>
    </row>
    <row r="183" spans="5:5" x14ac:dyDescent="0.3">
      <c r="E183"/>
    </row>
    <row r="184" spans="5:5" x14ac:dyDescent="0.3">
      <c r="E184"/>
    </row>
    <row r="185" spans="5:5" x14ac:dyDescent="0.3">
      <c r="E185"/>
    </row>
    <row r="186" spans="5:5" x14ac:dyDescent="0.3">
      <c r="E186"/>
    </row>
    <row r="187" spans="5:5" x14ac:dyDescent="0.3">
      <c r="E187"/>
    </row>
    <row r="188" spans="5:5" x14ac:dyDescent="0.3">
      <c r="E188"/>
    </row>
    <row r="189" spans="5:5" x14ac:dyDescent="0.3">
      <c r="E189"/>
    </row>
    <row r="190" spans="5:5" x14ac:dyDescent="0.3">
      <c r="E190"/>
    </row>
    <row r="191" spans="5:5" x14ac:dyDescent="0.3">
      <c r="E191"/>
    </row>
    <row r="192" spans="5:5" x14ac:dyDescent="0.3">
      <c r="E192"/>
    </row>
    <row r="193" spans="5:5" x14ac:dyDescent="0.3">
      <c r="E193"/>
    </row>
    <row r="194" spans="5:5" x14ac:dyDescent="0.3">
      <c r="E194"/>
    </row>
    <row r="195" spans="5:5" x14ac:dyDescent="0.3">
      <c r="E195"/>
    </row>
    <row r="196" spans="5:5" x14ac:dyDescent="0.3">
      <c r="E196"/>
    </row>
    <row r="197" spans="5:5" x14ac:dyDescent="0.3">
      <c r="E197"/>
    </row>
    <row r="198" spans="5:5" x14ac:dyDescent="0.3">
      <c r="E198"/>
    </row>
    <row r="199" spans="5:5" x14ac:dyDescent="0.3">
      <c r="E199"/>
    </row>
    <row r="200" spans="5:5" x14ac:dyDescent="0.3">
      <c r="E200"/>
    </row>
    <row r="201" spans="5:5" x14ac:dyDescent="0.3">
      <c r="E201"/>
    </row>
    <row r="202" spans="5:5" x14ac:dyDescent="0.3">
      <c r="E202"/>
    </row>
    <row r="203" spans="5:5" x14ac:dyDescent="0.3">
      <c r="E203"/>
    </row>
    <row r="204" spans="5:5" x14ac:dyDescent="0.3">
      <c r="E204"/>
    </row>
    <row r="205" spans="5:5" x14ac:dyDescent="0.3">
      <c r="E205"/>
    </row>
    <row r="206" spans="5:5" x14ac:dyDescent="0.3">
      <c r="E206"/>
    </row>
    <row r="207" spans="5:5" x14ac:dyDescent="0.3">
      <c r="E207"/>
    </row>
    <row r="208" spans="5:5" x14ac:dyDescent="0.3">
      <c r="E208"/>
    </row>
    <row r="209" spans="5:5" x14ac:dyDescent="0.3">
      <c r="E209"/>
    </row>
    <row r="210" spans="5:5" x14ac:dyDescent="0.3">
      <c r="E210"/>
    </row>
    <row r="211" spans="5:5" x14ac:dyDescent="0.3">
      <c r="E211"/>
    </row>
    <row r="212" spans="5:5" x14ac:dyDescent="0.3">
      <c r="E212"/>
    </row>
    <row r="213" spans="5:5" x14ac:dyDescent="0.3">
      <c r="E213"/>
    </row>
    <row r="214" spans="5:5" x14ac:dyDescent="0.3">
      <c r="E214"/>
    </row>
    <row r="215" spans="5:5" x14ac:dyDescent="0.3">
      <c r="E215"/>
    </row>
    <row r="216" spans="5:5" x14ac:dyDescent="0.3">
      <c r="E216"/>
    </row>
    <row r="217" spans="5:5" x14ac:dyDescent="0.3">
      <c r="E217"/>
    </row>
    <row r="218" spans="5:5" x14ac:dyDescent="0.3">
      <c r="E218"/>
    </row>
    <row r="219" spans="5:5" x14ac:dyDescent="0.3">
      <c r="E219"/>
    </row>
    <row r="220" spans="5:5" x14ac:dyDescent="0.3">
      <c r="E220"/>
    </row>
    <row r="221" spans="5:5" x14ac:dyDescent="0.3">
      <c r="E221"/>
    </row>
    <row r="222" spans="5:5" x14ac:dyDescent="0.3">
      <c r="E222"/>
    </row>
    <row r="223" spans="5:5" x14ac:dyDescent="0.3">
      <c r="E223"/>
    </row>
    <row r="224" spans="5:5" x14ac:dyDescent="0.3">
      <c r="E224"/>
    </row>
    <row r="225" spans="5:5" x14ac:dyDescent="0.3">
      <c r="E225"/>
    </row>
    <row r="226" spans="5:5" x14ac:dyDescent="0.3">
      <c r="E226"/>
    </row>
    <row r="227" spans="5:5" x14ac:dyDescent="0.3">
      <c r="E227"/>
    </row>
    <row r="228" spans="5:5" x14ac:dyDescent="0.3">
      <c r="E228"/>
    </row>
    <row r="229" spans="5:5" x14ac:dyDescent="0.3">
      <c r="E229"/>
    </row>
    <row r="230" spans="5:5" x14ac:dyDescent="0.3">
      <c r="E230"/>
    </row>
    <row r="231" spans="5:5" x14ac:dyDescent="0.3">
      <c r="E231"/>
    </row>
    <row r="232" spans="5:5" x14ac:dyDescent="0.3">
      <c r="E232"/>
    </row>
    <row r="233" spans="5:5" x14ac:dyDescent="0.3">
      <c r="E233"/>
    </row>
    <row r="234" spans="5:5" x14ac:dyDescent="0.3">
      <c r="E234"/>
    </row>
    <row r="235" spans="5:5" x14ac:dyDescent="0.3">
      <c r="E235"/>
    </row>
    <row r="236" spans="5:5" x14ac:dyDescent="0.3">
      <c r="E236"/>
    </row>
    <row r="237" spans="5:5" x14ac:dyDescent="0.3">
      <c r="E237"/>
    </row>
    <row r="238" spans="5:5" x14ac:dyDescent="0.3">
      <c r="E238"/>
    </row>
    <row r="239" spans="5:5" x14ac:dyDescent="0.3">
      <c r="E239"/>
    </row>
    <row r="240" spans="5:5" x14ac:dyDescent="0.3">
      <c r="E240"/>
    </row>
    <row r="241" spans="5:5" x14ac:dyDescent="0.3">
      <c r="E241"/>
    </row>
    <row r="242" spans="5:5" x14ac:dyDescent="0.3">
      <c r="E242"/>
    </row>
    <row r="243" spans="5:5" x14ac:dyDescent="0.3">
      <c r="E243"/>
    </row>
    <row r="244" spans="5:5" x14ac:dyDescent="0.3">
      <c r="E244"/>
    </row>
    <row r="245" spans="5:5" x14ac:dyDescent="0.3">
      <c r="E245"/>
    </row>
    <row r="246" spans="5:5" x14ac:dyDescent="0.3">
      <c r="E246"/>
    </row>
    <row r="247" spans="5:5" x14ac:dyDescent="0.3">
      <c r="E247"/>
    </row>
    <row r="248" spans="5:5" x14ac:dyDescent="0.3">
      <c r="E248"/>
    </row>
    <row r="249" spans="5:5" x14ac:dyDescent="0.3">
      <c r="E249"/>
    </row>
    <row r="250" spans="5:5" x14ac:dyDescent="0.3">
      <c r="E250"/>
    </row>
    <row r="251" spans="5:5" x14ac:dyDescent="0.3">
      <c r="E251"/>
    </row>
    <row r="252" spans="5:5" x14ac:dyDescent="0.3">
      <c r="E252"/>
    </row>
    <row r="253" spans="5:5" x14ac:dyDescent="0.3">
      <c r="E253"/>
    </row>
    <row r="254" spans="5:5" x14ac:dyDescent="0.3">
      <c r="E254"/>
    </row>
    <row r="255" spans="5:5" x14ac:dyDescent="0.3">
      <c r="E255"/>
    </row>
    <row r="256" spans="5:5" x14ac:dyDescent="0.3">
      <c r="E256"/>
    </row>
    <row r="257" spans="5:5" x14ac:dyDescent="0.3">
      <c r="E257"/>
    </row>
    <row r="258" spans="5:5" x14ac:dyDescent="0.3">
      <c r="E258"/>
    </row>
    <row r="259" spans="5:5" x14ac:dyDescent="0.3">
      <c r="E259"/>
    </row>
    <row r="260" spans="5:5" x14ac:dyDescent="0.3">
      <c r="E260"/>
    </row>
    <row r="261" spans="5:5" x14ac:dyDescent="0.3">
      <c r="E261"/>
    </row>
    <row r="262" spans="5:5" x14ac:dyDescent="0.3">
      <c r="E262"/>
    </row>
    <row r="263" spans="5:5" x14ac:dyDescent="0.3">
      <c r="E263"/>
    </row>
    <row r="264" spans="5:5" x14ac:dyDescent="0.3">
      <c r="E264"/>
    </row>
    <row r="265" spans="5:5" x14ac:dyDescent="0.3">
      <c r="E265"/>
    </row>
    <row r="266" spans="5:5" x14ac:dyDescent="0.3">
      <c r="E266"/>
    </row>
    <row r="267" spans="5:5" x14ac:dyDescent="0.3">
      <c r="E267"/>
    </row>
    <row r="268" spans="5:5" x14ac:dyDescent="0.3">
      <c r="E268"/>
    </row>
    <row r="269" spans="5:5" x14ac:dyDescent="0.3">
      <c r="E269"/>
    </row>
    <row r="270" spans="5:5" x14ac:dyDescent="0.3">
      <c r="E270"/>
    </row>
    <row r="271" spans="5:5" x14ac:dyDescent="0.3">
      <c r="E271"/>
    </row>
    <row r="272" spans="5:5" x14ac:dyDescent="0.3">
      <c r="E272"/>
    </row>
    <row r="273" spans="5:5" x14ac:dyDescent="0.3">
      <c r="E273"/>
    </row>
    <row r="274" spans="5:5" x14ac:dyDescent="0.3">
      <c r="E274"/>
    </row>
    <row r="275" spans="5:5" x14ac:dyDescent="0.3">
      <c r="E275"/>
    </row>
    <row r="276" spans="5:5" x14ac:dyDescent="0.3">
      <c r="E276"/>
    </row>
    <row r="277" spans="5:5" x14ac:dyDescent="0.3">
      <c r="E277"/>
    </row>
    <row r="278" spans="5:5" x14ac:dyDescent="0.3">
      <c r="E278"/>
    </row>
    <row r="279" spans="5:5" x14ac:dyDescent="0.3">
      <c r="E279"/>
    </row>
    <row r="280" spans="5:5" x14ac:dyDescent="0.3">
      <c r="E280"/>
    </row>
    <row r="281" spans="5:5" x14ac:dyDescent="0.3">
      <c r="E281"/>
    </row>
    <row r="282" spans="5:5" x14ac:dyDescent="0.3">
      <c r="E282"/>
    </row>
    <row r="283" spans="5:5" x14ac:dyDescent="0.3">
      <c r="E283"/>
    </row>
    <row r="284" spans="5:5" x14ac:dyDescent="0.3">
      <c r="E284"/>
    </row>
    <row r="285" spans="5:5" x14ac:dyDescent="0.3">
      <c r="E285"/>
    </row>
    <row r="286" spans="5:5" x14ac:dyDescent="0.3">
      <c r="E286"/>
    </row>
    <row r="287" spans="5:5" x14ac:dyDescent="0.3">
      <c r="E287"/>
    </row>
    <row r="288" spans="5:5" x14ac:dyDescent="0.3">
      <c r="E288"/>
    </row>
    <row r="289" spans="5:5" x14ac:dyDescent="0.3">
      <c r="E289"/>
    </row>
    <row r="290" spans="5:5" x14ac:dyDescent="0.3">
      <c r="E290"/>
    </row>
    <row r="291" spans="5:5" x14ac:dyDescent="0.3">
      <c r="E291"/>
    </row>
    <row r="292" spans="5:5" x14ac:dyDescent="0.3">
      <c r="E292"/>
    </row>
    <row r="293" spans="5:5" x14ac:dyDescent="0.3">
      <c r="E293"/>
    </row>
    <row r="294" spans="5:5" x14ac:dyDescent="0.3">
      <c r="E294"/>
    </row>
    <row r="295" spans="5:5" x14ac:dyDescent="0.3">
      <c r="E295"/>
    </row>
    <row r="296" spans="5:5" x14ac:dyDescent="0.3">
      <c r="E296"/>
    </row>
    <row r="297" spans="5:5" x14ac:dyDescent="0.3">
      <c r="E297"/>
    </row>
    <row r="298" spans="5:5" x14ac:dyDescent="0.3">
      <c r="E298"/>
    </row>
    <row r="299" spans="5:5" x14ac:dyDescent="0.3">
      <c r="E299"/>
    </row>
    <row r="300" spans="5:5" x14ac:dyDescent="0.3">
      <c r="E300"/>
    </row>
    <row r="301" spans="5:5" x14ac:dyDescent="0.3">
      <c r="E301"/>
    </row>
    <row r="302" spans="5:5" x14ac:dyDescent="0.3">
      <c r="E302"/>
    </row>
    <row r="303" spans="5:5" x14ac:dyDescent="0.3">
      <c r="E303"/>
    </row>
    <row r="304" spans="5:5" x14ac:dyDescent="0.3">
      <c r="E304"/>
    </row>
    <row r="305" spans="5:5" x14ac:dyDescent="0.3">
      <c r="E305"/>
    </row>
    <row r="306" spans="5:5" x14ac:dyDescent="0.3">
      <c r="E306"/>
    </row>
    <row r="307" spans="5:5" x14ac:dyDescent="0.3">
      <c r="E307"/>
    </row>
    <row r="308" spans="5:5" x14ac:dyDescent="0.3">
      <c r="E308"/>
    </row>
    <row r="309" spans="5:5" x14ac:dyDescent="0.3">
      <c r="E309"/>
    </row>
    <row r="310" spans="5:5" x14ac:dyDescent="0.3">
      <c r="E310"/>
    </row>
    <row r="311" spans="5:5" x14ac:dyDescent="0.3">
      <c r="E311"/>
    </row>
    <row r="312" spans="5:5" x14ac:dyDescent="0.3">
      <c r="E312"/>
    </row>
    <row r="313" spans="5:5" x14ac:dyDescent="0.3">
      <c r="E313"/>
    </row>
    <row r="314" spans="5:5" x14ac:dyDescent="0.3">
      <c r="E314"/>
    </row>
    <row r="315" spans="5:5" x14ac:dyDescent="0.3">
      <c r="E315"/>
    </row>
    <row r="316" spans="5:5" x14ac:dyDescent="0.3">
      <c r="E316"/>
    </row>
    <row r="317" spans="5:5" x14ac:dyDescent="0.3">
      <c r="E317"/>
    </row>
    <row r="318" spans="5:5" x14ac:dyDescent="0.3">
      <c r="E318"/>
    </row>
    <row r="319" spans="5:5" x14ac:dyDescent="0.3">
      <c r="E319"/>
    </row>
    <row r="320" spans="5:5" x14ac:dyDescent="0.3">
      <c r="E320"/>
    </row>
    <row r="321" spans="5:5" x14ac:dyDescent="0.3">
      <c r="E321"/>
    </row>
    <row r="322" spans="5:5" x14ac:dyDescent="0.3">
      <c r="E322"/>
    </row>
    <row r="323" spans="5:5" x14ac:dyDescent="0.3">
      <c r="E323"/>
    </row>
    <row r="324" spans="5:5" x14ac:dyDescent="0.3">
      <c r="E324"/>
    </row>
    <row r="325" spans="5:5" x14ac:dyDescent="0.3">
      <c r="E325"/>
    </row>
    <row r="326" spans="5:5" x14ac:dyDescent="0.3">
      <c r="E326"/>
    </row>
    <row r="327" spans="5:5" x14ac:dyDescent="0.3">
      <c r="E327"/>
    </row>
    <row r="328" spans="5:5" x14ac:dyDescent="0.3">
      <c r="E328"/>
    </row>
    <row r="329" spans="5:5" x14ac:dyDescent="0.3">
      <c r="E329"/>
    </row>
    <row r="330" spans="5:5" x14ac:dyDescent="0.3">
      <c r="E330"/>
    </row>
    <row r="331" spans="5:5" x14ac:dyDescent="0.3">
      <c r="E331"/>
    </row>
    <row r="332" spans="5:5" x14ac:dyDescent="0.3">
      <c r="E332"/>
    </row>
    <row r="333" spans="5:5" x14ac:dyDescent="0.3">
      <c r="E333"/>
    </row>
    <row r="334" spans="5:5" x14ac:dyDescent="0.3">
      <c r="E334"/>
    </row>
    <row r="335" spans="5:5" x14ac:dyDescent="0.3">
      <c r="E335"/>
    </row>
    <row r="336" spans="5:5" x14ac:dyDescent="0.3">
      <c r="E336"/>
    </row>
    <row r="337" spans="5:5" x14ac:dyDescent="0.3">
      <c r="E337"/>
    </row>
    <row r="338" spans="5:5" x14ac:dyDescent="0.3">
      <c r="E338"/>
    </row>
    <row r="339" spans="5:5" x14ac:dyDescent="0.3">
      <c r="E339"/>
    </row>
    <row r="340" spans="5:5" x14ac:dyDescent="0.3">
      <c r="E340"/>
    </row>
    <row r="341" spans="5:5" x14ac:dyDescent="0.3">
      <c r="E341"/>
    </row>
    <row r="342" spans="5:5" x14ac:dyDescent="0.3">
      <c r="E342"/>
    </row>
    <row r="343" spans="5:5" x14ac:dyDescent="0.3">
      <c r="E343"/>
    </row>
    <row r="344" spans="5:5" x14ac:dyDescent="0.3">
      <c r="E344"/>
    </row>
    <row r="345" spans="5:5" x14ac:dyDescent="0.3">
      <c r="E345"/>
    </row>
    <row r="346" spans="5:5" x14ac:dyDescent="0.3">
      <c r="E346"/>
    </row>
    <row r="347" spans="5:5" x14ac:dyDescent="0.3">
      <c r="E347"/>
    </row>
    <row r="348" spans="5:5" x14ac:dyDescent="0.3">
      <c r="E348"/>
    </row>
    <row r="349" spans="5:5" x14ac:dyDescent="0.3">
      <c r="E349"/>
    </row>
    <row r="350" spans="5:5" x14ac:dyDescent="0.3">
      <c r="E350"/>
    </row>
    <row r="351" spans="5:5" x14ac:dyDescent="0.3">
      <c r="E351"/>
    </row>
    <row r="352" spans="5:5" x14ac:dyDescent="0.3">
      <c r="E352"/>
    </row>
    <row r="353" spans="1:5" x14ac:dyDescent="0.3">
      <c r="E353"/>
    </row>
    <row r="354" spans="1:5" x14ac:dyDescent="0.3">
      <c r="E354"/>
    </row>
    <row r="355" spans="1:5" x14ac:dyDescent="0.3">
      <c r="E355"/>
    </row>
    <row r="356" spans="1:5" x14ac:dyDescent="0.3">
      <c r="E356"/>
    </row>
    <row r="357" spans="1:5" x14ac:dyDescent="0.3">
      <c r="E357"/>
    </row>
    <row r="358" spans="1:5" x14ac:dyDescent="0.3">
      <c r="E358"/>
    </row>
    <row r="359" spans="1:5" x14ac:dyDescent="0.3">
      <c r="E359"/>
    </row>
    <row r="360" spans="1:5" x14ac:dyDescent="0.3">
      <c r="E360"/>
    </row>
    <row r="361" spans="1:5" x14ac:dyDescent="0.3">
      <c r="E361"/>
    </row>
    <row r="362" spans="1:5" x14ac:dyDescent="0.3">
      <c r="E362"/>
    </row>
    <row r="363" spans="1:5" x14ac:dyDescent="0.3">
      <c r="E363"/>
    </row>
    <row r="364" spans="1:5" x14ac:dyDescent="0.3">
      <c r="E364"/>
    </row>
    <row r="365" spans="1:5" x14ac:dyDescent="0.3">
      <c r="E365"/>
    </row>
    <row r="366" spans="1:5" x14ac:dyDescent="0.3">
      <c r="A366" s="20"/>
      <c r="E366"/>
    </row>
    <row r="367" spans="1:5" x14ac:dyDescent="0.3">
      <c r="E367"/>
    </row>
    <row r="368" spans="1:5" x14ac:dyDescent="0.3">
      <c r="E368"/>
    </row>
    <row r="369" spans="5:5" x14ac:dyDescent="0.3">
      <c r="E369"/>
    </row>
    <row r="370" spans="5:5" x14ac:dyDescent="0.3">
      <c r="E370"/>
    </row>
    <row r="371" spans="5:5" x14ac:dyDescent="0.3">
      <c r="E371"/>
    </row>
    <row r="372" spans="5:5" x14ac:dyDescent="0.3">
      <c r="E372"/>
    </row>
    <row r="373" spans="5:5" x14ac:dyDescent="0.3">
      <c r="E373"/>
    </row>
    <row r="374" spans="5:5" x14ac:dyDescent="0.3">
      <c r="E374"/>
    </row>
    <row r="375" spans="5:5" x14ac:dyDescent="0.3">
      <c r="E375"/>
    </row>
    <row r="376" spans="5:5" x14ac:dyDescent="0.3">
      <c r="E376"/>
    </row>
    <row r="377" spans="5:5" x14ac:dyDescent="0.3">
      <c r="E377"/>
    </row>
    <row r="378" spans="5:5" x14ac:dyDescent="0.3">
      <c r="E378"/>
    </row>
    <row r="379" spans="5:5" x14ac:dyDescent="0.3">
      <c r="E379"/>
    </row>
    <row r="380" spans="5:5" x14ac:dyDescent="0.3">
      <c r="E380"/>
    </row>
    <row r="381" spans="5:5" x14ac:dyDescent="0.3">
      <c r="E381"/>
    </row>
    <row r="382" spans="5:5" x14ac:dyDescent="0.3">
      <c r="E382"/>
    </row>
    <row r="383" spans="5:5" x14ac:dyDescent="0.3">
      <c r="E383"/>
    </row>
    <row r="384" spans="5:5" x14ac:dyDescent="0.3">
      <c r="E384"/>
    </row>
    <row r="385" spans="5:5" x14ac:dyDescent="0.3">
      <c r="E385"/>
    </row>
    <row r="386" spans="5:5" x14ac:dyDescent="0.3">
      <c r="E386"/>
    </row>
    <row r="387" spans="5:5" x14ac:dyDescent="0.3">
      <c r="E387"/>
    </row>
    <row r="388" spans="5:5" x14ac:dyDescent="0.3">
      <c r="E388"/>
    </row>
    <row r="389" spans="5:5" x14ac:dyDescent="0.3">
      <c r="E389"/>
    </row>
    <row r="390" spans="5:5" x14ac:dyDescent="0.3">
      <c r="E390"/>
    </row>
    <row r="391" spans="5:5" x14ac:dyDescent="0.3">
      <c r="E391"/>
    </row>
    <row r="392" spans="5:5" x14ac:dyDescent="0.3">
      <c r="E392"/>
    </row>
    <row r="393" spans="5:5" x14ac:dyDescent="0.3">
      <c r="E393"/>
    </row>
    <row r="394" spans="5:5" x14ac:dyDescent="0.3">
      <c r="E394"/>
    </row>
    <row r="395" spans="5:5" x14ac:dyDescent="0.3">
      <c r="E395"/>
    </row>
    <row r="396" spans="5:5" x14ac:dyDescent="0.3">
      <c r="E396"/>
    </row>
    <row r="397" spans="5:5" x14ac:dyDescent="0.3">
      <c r="E397"/>
    </row>
    <row r="398" spans="5:5" x14ac:dyDescent="0.3">
      <c r="E398"/>
    </row>
    <row r="399" spans="5:5" x14ac:dyDescent="0.3">
      <c r="E399"/>
    </row>
    <row r="400" spans="5:5" x14ac:dyDescent="0.3">
      <c r="E400"/>
    </row>
    <row r="401" spans="5:5" x14ac:dyDescent="0.3">
      <c r="E401"/>
    </row>
    <row r="402" spans="5:5" x14ac:dyDescent="0.3">
      <c r="E402"/>
    </row>
    <row r="403" spans="5:5" x14ac:dyDescent="0.3">
      <c r="E403"/>
    </row>
    <row r="404" spans="5:5" x14ac:dyDescent="0.3">
      <c r="E404"/>
    </row>
    <row r="405" spans="5:5" x14ac:dyDescent="0.3">
      <c r="E405"/>
    </row>
    <row r="406" spans="5:5" x14ac:dyDescent="0.3">
      <c r="E406"/>
    </row>
    <row r="407" spans="5:5" x14ac:dyDescent="0.3">
      <c r="E407"/>
    </row>
    <row r="408" spans="5:5" x14ac:dyDescent="0.3">
      <c r="E408"/>
    </row>
    <row r="409" spans="5:5" x14ac:dyDescent="0.3">
      <c r="E409"/>
    </row>
    <row r="410" spans="5:5" x14ac:dyDescent="0.3">
      <c r="E410"/>
    </row>
    <row r="411" spans="5:5" x14ac:dyDescent="0.3">
      <c r="E411"/>
    </row>
    <row r="412" spans="5:5" x14ac:dyDescent="0.3">
      <c r="E412"/>
    </row>
    <row r="413" spans="5:5" x14ac:dyDescent="0.3">
      <c r="E413"/>
    </row>
    <row r="414" spans="5:5" x14ac:dyDescent="0.3">
      <c r="E414"/>
    </row>
    <row r="415" spans="5:5" x14ac:dyDescent="0.3">
      <c r="E415"/>
    </row>
    <row r="416" spans="5:5" x14ac:dyDescent="0.3">
      <c r="E416"/>
    </row>
    <row r="417" spans="5:5" x14ac:dyDescent="0.3">
      <c r="E417"/>
    </row>
    <row r="418" spans="5:5" x14ac:dyDescent="0.3">
      <c r="E418"/>
    </row>
    <row r="419" spans="5:5" x14ac:dyDescent="0.3">
      <c r="E419"/>
    </row>
    <row r="420" spans="5:5" x14ac:dyDescent="0.3">
      <c r="E420"/>
    </row>
    <row r="421" spans="5:5" x14ac:dyDescent="0.3">
      <c r="E421"/>
    </row>
    <row r="422" spans="5:5" x14ac:dyDescent="0.3">
      <c r="E422"/>
    </row>
    <row r="423" spans="5:5" x14ac:dyDescent="0.3">
      <c r="E423"/>
    </row>
    <row r="424" spans="5:5" x14ac:dyDescent="0.3">
      <c r="E424"/>
    </row>
    <row r="425" spans="5:5" x14ac:dyDescent="0.3">
      <c r="E425"/>
    </row>
    <row r="426" spans="5:5" x14ac:dyDescent="0.3">
      <c r="E426"/>
    </row>
    <row r="427" spans="5:5" x14ac:dyDescent="0.3">
      <c r="E427"/>
    </row>
    <row r="428" spans="5:5" x14ac:dyDescent="0.3">
      <c r="E428"/>
    </row>
    <row r="429" spans="5:5" x14ac:dyDescent="0.3">
      <c r="E429"/>
    </row>
    <row r="430" spans="5:5" x14ac:dyDescent="0.3">
      <c r="E430"/>
    </row>
    <row r="431" spans="5:5" x14ac:dyDescent="0.3">
      <c r="E431"/>
    </row>
    <row r="432" spans="5:5" x14ac:dyDescent="0.3">
      <c r="E432"/>
    </row>
    <row r="433" spans="5:5" x14ac:dyDescent="0.3">
      <c r="E433"/>
    </row>
    <row r="434" spans="5:5" x14ac:dyDescent="0.3">
      <c r="E434"/>
    </row>
    <row r="435" spans="5:5" x14ac:dyDescent="0.3">
      <c r="E435"/>
    </row>
    <row r="436" spans="5:5" x14ac:dyDescent="0.3">
      <c r="E436"/>
    </row>
    <row r="437" spans="5:5" x14ac:dyDescent="0.3">
      <c r="E437"/>
    </row>
    <row r="438" spans="5:5" x14ac:dyDescent="0.3">
      <c r="E438"/>
    </row>
    <row r="439" spans="5:5" x14ac:dyDescent="0.3">
      <c r="E439"/>
    </row>
    <row r="440" spans="5:5" x14ac:dyDescent="0.3">
      <c r="E440"/>
    </row>
    <row r="441" spans="5:5" x14ac:dyDescent="0.3">
      <c r="E441"/>
    </row>
    <row r="442" spans="5:5" x14ac:dyDescent="0.3">
      <c r="E442"/>
    </row>
    <row r="443" spans="5:5" x14ac:dyDescent="0.3">
      <c r="E443"/>
    </row>
    <row r="444" spans="5:5" x14ac:dyDescent="0.3">
      <c r="E444"/>
    </row>
    <row r="445" spans="5:5" x14ac:dyDescent="0.3">
      <c r="E445"/>
    </row>
    <row r="446" spans="5:5" x14ac:dyDescent="0.3">
      <c r="E446"/>
    </row>
    <row r="447" spans="5:5" x14ac:dyDescent="0.3">
      <c r="E447"/>
    </row>
    <row r="448" spans="5:5" x14ac:dyDescent="0.3">
      <c r="E448"/>
    </row>
    <row r="449" spans="5:5" x14ac:dyDescent="0.3">
      <c r="E449"/>
    </row>
    <row r="450" spans="5:5" x14ac:dyDescent="0.3">
      <c r="E450"/>
    </row>
    <row r="451" spans="5:5" x14ac:dyDescent="0.3">
      <c r="E451"/>
    </row>
    <row r="452" spans="5:5" x14ac:dyDescent="0.3">
      <c r="E452"/>
    </row>
    <row r="453" spans="5:5" x14ac:dyDescent="0.3">
      <c r="E453"/>
    </row>
    <row r="454" spans="5:5" x14ac:dyDescent="0.3">
      <c r="E454"/>
    </row>
    <row r="455" spans="5:5" x14ac:dyDescent="0.3">
      <c r="E455"/>
    </row>
    <row r="456" spans="5:5" x14ac:dyDescent="0.3">
      <c r="E456"/>
    </row>
    <row r="457" spans="5:5" x14ac:dyDescent="0.3">
      <c r="E457"/>
    </row>
    <row r="458" spans="5:5" x14ac:dyDescent="0.3">
      <c r="E458"/>
    </row>
    <row r="459" spans="5:5" x14ac:dyDescent="0.3">
      <c r="E459"/>
    </row>
    <row r="460" spans="5:5" x14ac:dyDescent="0.3">
      <c r="E460"/>
    </row>
    <row r="461" spans="5:5" x14ac:dyDescent="0.3">
      <c r="E461"/>
    </row>
    <row r="462" spans="5:5" x14ac:dyDescent="0.3">
      <c r="E462"/>
    </row>
    <row r="463" spans="5:5" x14ac:dyDescent="0.3">
      <c r="E463"/>
    </row>
    <row r="464" spans="5:5" x14ac:dyDescent="0.3">
      <c r="E464"/>
    </row>
    <row r="465" spans="5:5" x14ac:dyDescent="0.3">
      <c r="E465"/>
    </row>
    <row r="466" spans="5:5" x14ac:dyDescent="0.3">
      <c r="E466"/>
    </row>
    <row r="467" spans="5:5" x14ac:dyDescent="0.3">
      <c r="E467"/>
    </row>
    <row r="468" spans="5:5" x14ac:dyDescent="0.3">
      <c r="E468"/>
    </row>
    <row r="469" spans="5:5" x14ac:dyDescent="0.3">
      <c r="E469"/>
    </row>
    <row r="470" spans="5:5" x14ac:dyDescent="0.3">
      <c r="E470"/>
    </row>
    <row r="471" spans="5:5" x14ac:dyDescent="0.3">
      <c r="E471"/>
    </row>
    <row r="472" spans="5:5" x14ac:dyDescent="0.3">
      <c r="E472"/>
    </row>
    <row r="473" spans="5:5" x14ac:dyDescent="0.3">
      <c r="E473"/>
    </row>
    <row r="474" spans="5:5" x14ac:dyDescent="0.3">
      <c r="E474"/>
    </row>
    <row r="475" spans="5:5" x14ac:dyDescent="0.3">
      <c r="E475"/>
    </row>
    <row r="476" spans="5:5" x14ac:dyDescent="0.3">
      <c r="E476"/>
    </row>
    <row r="477" spans="5:5" x14ac:dyDescent="0.3">
      <c r="E477"/>
    </row>
    <row r="478" spans="5:5" x14ac:dyDescent="0.3">
      <c r="E478"/>
    </row>
    <row r="479" spans="5:5" x14ac:dyDescent="0.3">
      <c r="E479"/>
    </row>
    <row r="480" spans="5:5" x14ac:dyDescent="0.3">
      <c r="E480"/>
    </row>
    <row r="481" spans="5:5" x14ac:dyDescent="0.3">
      <c r="E481"/>
    </row>
    <row r="482" spans="5:5" x14ac:dyDescent="0.3">
      <c r="E482"/>
    </row>
    <row r="483" spans="5:5" x14ac:dyDescent="0.3">
      <c r="E483"/>
    </row>
    <row r="484" spans="5:5" x14ac:dyDescent="0.3">
      <c r="E484"/>
    </row>
    <row r="485" spans="5:5" x14ac:dyDescent="0.3">
      <c r="E485"/>
    </row>
    <row r="486" spans="5:5" x14ac:dyDescent="0.3">
      <c r="E486"/>
    </row>
    <row r="487" spans="5:5" x14ac:dyDescent="0.3">
      <c r="E487"/>
    </row>
    <row r="488" spans="5:5" x14ac:dyDescent="0.3">
      <c r="E488"/>
    </row>
    <row r="489" spans="5:5" x14ac:dyDescent="0.3">
      <c r="E489"/>
    </row>
    <row r="490" spans="5:5" x14ac:dyDescent="0.3">
      <c r="E490"/>
    </row>
    <row r="491" spans="5:5" x14ac:dyDescent="0.3">
      <c r="E491"/>
    </row>
    <row r="492" spans="5:5" x14ac:dyDescent="0.3">
      <c r="E492"/>
    </row>
    <row r="493" spans="5:5" x14ac:dyDescent="0.3">
      <c r="E493"/>
    </row>
    <row r="494" spans="5:5" x14ac:dyDescent="0.3">
      <c r="E494"/>
    </row>
    <row r="495" spans="5:5" x14ac:dyDescent="0.3">
      <c r="E495"/>
    </row>
    <row r="496" spans="5:5" x14ac:dyDescent="0.3">
      <c r="E496"/>
    </row>
    <row r="497" spans="5:5" x14ac:dyDescent="0.3">
      <c r="E497"/>
    </row>
    <row r="498" spans="5:5" x14ac:dyDescent="0.3">
      <c r="E498"/>
    </row>
    <row r="499" spans="5:5" x14ac:dyDescent="0.3">
      <c r="E499"/>
    </row>
    <row r="500" spans="5:5" x14ac:dyDescent="0.3">
      <c r="E500"/>
    </row>
    <row r="501" spans="5:5" x14ac:dyDescent="0.3">
      <c r="E501"/>
    </row>
    <row r="502" spans="5:5" x14ac:dyDescent="0.3">
      <c r="E502"/>
    </row>
    <row r="503" spans="5:5" x14ac:dyDescent="0.3">
      <c r="E503"/>
    </row>
    <row r="504" spans="5:5" x14ac:dyDescent="0.3">
      <c r="E504"/>
    </row>
    <row r="505" spans="5:5" x14ac:dyDescent="0.3">
      <c r="E505"/>
    </row>
    <row r="506" spans="5:5" x14ac:dyDescent="0.3">
      <c r="E506"/>
    </row>
    <row r="507" spans="5:5" x14ac:dyDescent="0.3">
      <c r="E507"/>
    </row>
    <row r="508" spans="5:5" x14ac:dyDescent="0.3">
      <c r="E508"/>
    </row>
    <row r="509" spans="5:5" x14ac:dyDescent="0.3">
      <c r="E509"/>
    </row>
    <row r="510" spans="5:5" x14ac:dyDescent="0.3">
      <c r="E510"/>
    </row>
    <row r="511" spans="5:5" x14ac:dyDescent="0.3">
      <c r="E511"/>
    </row>
    <row r="512" spans="5:5" x14ac:dyDescent="0.3">
      <c r="E512"/>
    </row>
    <row r="513" spans="5:5" x14ac:dyDescent="0.3">
      <c r="E513"/>
    </row>
    <row r="514" spans="5:5" x14ac:dyDescent="0.3">
      <c r="E514"/>
    </row>
    <row r="515" spans="5:5" x14ac:dyDescent="0.3">
      <c r="E515"/>
    </row>
    <row r="516" spans="5:5" x14ac:dyDescent="0.3">
      <c r="E516"/>
    </row>
    <row r="517" spans="5:5" x14ac:dyDescent="0.3">
      <c r="E517"/>
    </row>
    <row r="518" spans="5:5" x14ac:dyDescent="0.3">
      <c r="E518"/>
    </row>
    <row r="519" spans="5:5" x14ac:dyDescent="0.3">
      <c r="E519"/>
    </row>
    <row r="520" spans="5:5" x14ac:dyDescent="0.3">
      <c r="E520"/>
    </row>
    <row r="521" spans="5:5" x14ac:dyDescent="0.3">
      <c r="E521"/>
    </row>
    <row r="522" spans="5:5" x14ac:dyDescent="0.3">
      <c r="E522"/>
    </row>
    <row r="523" spans="5:5" x14ac:dyDescent="0.3">
      <c r="E523"/>
    </row>
    <row r="524" spans="5:5" x14ac:dyDescent="0.3">
      <c r="E524"/>
    </row>
    <row r="525" spans="5:5" x14ac:dyDescent="0.3">
      <c r="E525"/>
    </row>
    <row r="526" spans="5:5" x14ac:dyDescent="0.3">
      <c r="E526"/>
    </row>
    <row r="527" spans="5:5" x14ac:dyDescent="0.3">
      <c r="E527"/>
    </row>
    <row r="528" spans="5:5" x14ac:dyDescent="0.3">
      <c r="E528"/>
    </row>
    <row r="529" spans="5:5" x14ac:dyDescent="0.3">
      <c r="E529"/>
    </row>
    <row r="530" spans="5:5" x14ac:dyDescent="0.3">
      <c r="E530"/>
    </row>
    <row r="531" spans="5:5" x14ac:dyDescent="0.3">
      <c r="E531"/>
    </row>
    <row r="532" spans="5:5" x14ac:dyDescent="0.3">
      <c r="E532"/>
    </row>
    <row r="533" spans="5:5" x14ac:dyDescent="0.3">
      <c r="E533"/>
    </row>
    <row r="534" spans="5:5" x14ac:dyDescent="0.3">
      <c r="E534"/>
    </row>
    <row r="535" spans="5:5" x14ac:dyDescent="0.3">
      <c r="E535"/>
    </row>
    <row r="536" spans="5:5" x14ac:dyDescent="0.3">
      <c r="E536"/>
    </row>
    <row r="537" spans="5:5" x14ac:dyDescent="0.3">
      <c r="E537"/>
    </row>
    <row r="538" spans="5:5" x14ac:dyDescent="0.3">
      <c r="E538"/>
    </row>
    <row r="539" spans="5:5" x14ac:dyDescent="0.3">
      <c r="E539"/>
    </row>
    <row r="540" spans="5:5" x14ac:dyDescent="0.3">
      <c r="E540"/>
    </row>
    <row r="541" spans="5:5" x14ac:dyDescent="0.3">
      <c r="E541"/>
    </row>
    <row r="542" spans="5:5" x14ac:dyDescent="0.3">
      <c r="E542"/>
    </row>
    <row r="543" spans="5:5" x14ac:dyDescent="0.3">
      <c r="E543"/>
    </row>
    <row r="544" spans="5:5" x14ac:dyDescent="0.3">
      <c r="E544"/>
    </row>
    <row r="545" spans="5:5" x14ac:dyDescent="0.3">
      <c r="E545"/>
    </row>
    <row r="546" spans="5:5" x14ac:dyDescent="0.3">
      <c r="E546"/>
    </row>
    <row r="547" spans="5:5" x14ac:dyDescent="0.3">
      <c r="E547"/>
    </row>
    <row r="548" spans="5:5" x14ac:dyDescent="0.3">
      <c r="E548"/>
    </row>
    <row r="549" spans="5:5" x14ac:dyDescent="0.3">
      <c r="E549"/>
    </row>
    <row r="550" spans="5:5" x14ac:dyDescent="0.3">
      <c r="E550"/>
    </row>
    <row r="551" spans="5:5" x14ac:dyDescent="0.3">
      <c r="E551"/>
    </row>
    <row r="552" spans="5:5" x14ac:dyDescent="0.3">
      <c r="E552"/>
    </row>
    <row r="553" spans="5:5" x14ac:dyDescent="0.3">
      <c r="E553"/>
    </row>
    <row r="554" spans="5:5" x14ac:dyDescent="0.3">
      <c r="E554"/>
    </row>
    <row r="555" spans="5:5" x14ac:dyDescent="0.3">
      <c r="E555"/>
    </row>
    <row r="556" spans="5:5" x14ac:dyDescent="0.3">
      <c r="E556"/>
    </row>
    <row r="557" spans="5:5" x14ac:dyDescent="0.3">
      <c r="E557"/>
    </row>
    <row r="558" spans="5:5" x14ac:dyDescent="0.3">
      <c r="E558"/>
    </row>
    <row r="559" spans="5:5" x14ac:dyDescent="0.3">
      <c r="E559"/>
    </row>
    <row r="560" spans="5:5" x14ac:dyDescent="0.3">
      <c r="E560"/>
    </row>
    <row r="561" spans="5:5" x14ac:dyDescent="0.3">
      <c r="E561"/>
    </row>
    <row r="562" spans="5:5" x14ac:dyDescent="0.3">
      <c r="E562"/>
    </row>
    <row r="563" spans="5:5" x14ac:dyDescent="0.3">
      <c r="E563"/>
    </row>
    <row r="564" spans="5:5" x14ac:dyDescent="0.3">
      <c r="E564"/>
    </row>
    <row r="565" spans="5:5" x14ac:dyDescent="0.3">
      <c r="E565"/>
    </row>
    <row r="566" spans="5:5" x14ac:dyDescent="0.3">
      <c r="E566"/>
    </row>
    <row r="567" spans="5:5" x14ac:dyDescent="0.3">
      <c r="E567"/>
    </row>
    <row r="568" spans="5:5" x14ac:dyDescent="0.3">
      <c r="E568"/>
    </row>
    <row r="569" spans="5:5" x14ac:dyDescent="0.3">
      <c r="E569"/>
    </row>
    <row r="570" spans="5:5" x14ac:dyDescent="0.3">
      <c r="E570"/>
    </row>
    <row r="571" spans="5:5" x14ac:dyDescent="0.3">
      <c r="E571"/>
    </row>
  </sheetData>
  <mergeCells count="3">
    <mergeCell ref="B41:P42"/>
    <mergeCell ref="B2:R2"/>
    <mergeCell ref="B23:S23"/>
  </mergeCells>
  <phoneticPr fontId="5" type="noConversion"/>
  <conditionalFormatting sqref="E26:F38">
    <cfRule type="colorScale" priority="2">
      <colorScale>
        <cfvo type="min"/>
        <cfvo type="percentile" val="50"/>
        <cfvo type="max"/>
        <color rgb="FFF8696B"/>
        <color rgb="FFFFEB84"/>
        <color rgb="FF63BE7B"/>
      </colorScale>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591EA-8EE3-4093-9EEE-7EA05D9519EF}">
  <dimension ref="A3:B17"/>
  <sheetViews>
    <sheetView workbookViewId="0">
      <selection activeCell="B9" sqref="B9"/>
    </sheetView>
  </sheetViews>
  <sheetFormatPr defaultRowHeight="14.4" x14ac:dyDescent="0.3"/>
  <cols>
    <col min="1" max="1" width="12.5546875" bestFit="1" customWidth="1"/>
    <col min="2" max="2" width="15.33203125" bestFit="1" customWidth="1"/>
  </cols>
  <sheetData>
    <row r="3" spans="1:2" x14ac:dyDescent="0.3">
      <c r="A3" s="11" t="s">
        <v>1337</v>
      </c>
      <c r="B3" t="s">
        <v>1355</v>
      </c>
    </row>
    <row r="4" spans="1:2" x14ac:dyDescent="0.3">
      <c r="A4" s="12" t="s">
        <v>1347</v>
      </c>
      <c r="B4" s="19">
        <v>87.595952380952383</v>
      </c>
    </row>
    <row r="5" spans="1:2" x14ac:dyDescent="0.3">
      <c r="A5" s="12" t="s">
        <v>1346</v>
      </c>
      <c r="B5" s="19">
        <v>88.137666666666661</v>
      </c>
    </row>
    <row r="6" spans="1:2" x14ac:dyDescent="0.3">
      <c r="A6" s="12" t="s">
        <v>1350</v>
      </c>
      <c r="B6" s="19">
        <v>67.932456140350865</v>
      </c>
    </row>
    <row r="7" spans="1:2" x14ac:dyDescent="0.3">
      <c r="A7" s="12" t="s">
        <v>1343</v>
      </c>
      <c r="B7" s="19">
        <v>83.760588235294108</v>
      </c>
    </row>
    <row r="8" spans="1:2" x14ac:dyDescent="0.3">
      <c r="A8" s="12" t="s">
        <v>1351</v>
      </c>
      <c r="B8" s="19">
        <v>59.380810810810814</v>
      </c>
    </row>
    <row r="9" spans="1:2" x14ac:dyDescent="0.3">
      <c r="A9" s="12" t="s">
        <v>1349</v>
      </c>
      <c r="B9" s="19">
        <v>51.210232558139552</v>
      </c>
    </row>
    <row r="10" spans="1:2" x14ac:dyDescent="0.3">
      <c r="A10" s="12" t="s">
        <v>1348</v>
      </c>
      <c r="B10" s="19">
        <v>55.466326530612236</v>
      </c>
    </row>
    <row r="11" spans="1:2" x14ac:dyDescent="0.3">
      <c r="A11" s="12" t="s">
        <v>1344</v>
      </c>
      <c r="B11" s="19">
        <v>85.261111111111106</v>
      </c>
    </row>
    <row r="12" spans="1:2" x14ac:dyDescent="0.3">
      <c r="A12" s="12" t="s">
        <v>1354</v>
      </c>
      <c r="B12" s="19">
        <v>83.759459459459421</v>
      </c>
    </row>
    <row r="13" spans="1:2" x14ac:dyDescent="0.3">
      <c r="A13" s="12" t="s">
        <v>1353</v>
      </c>
      <c r="B13" s="19">
        <v>35.489444444444445</v>
      </c>
    </row>
    <row r="14" spans="1:2" x14ac:dyDescent="0.3">
      <c r="A14" s="12" t="s">
        <v>1352</v>
      </c>
      <c r="B14" s="19">
        <v>72.885000000000019</v>
      </c>
    </row>
    <row r="15" spans="1:2" x14ac:dyDescent="0.3">
      <c r="A15" s="12" t="s">
        <v>1345</v>
      </c>
      <c r="B15" s="19">
        <v>70.651951219512213</v>
      </c>
    </row>
    <row r="16" spans="1:2" x14ac:dyDescent="0.3">
      <c r="A16" s="21">
        <v>6</v>
      </c>
      <c r="B16" s="19">
        <v>2.5</v>
      </c>
    </row>
    <row r="17" spans="1:2" x14ac:dyDescent="0.3">
      <c r="A17" s="12" t="s">
        <v>1338</v>
      </c>
      <c r="B17" s="19">
        <v>68.196419999999989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5E3C5-0901-4631-964E-CD8C1304F042}">
  <dimension ref="A1:V198"/>
  <sheetViews>
    <sheetView showGridLines="0" zoomScale="78" zoomScaleNormal="78" workbookViewId="0">
      <selection activeCell="AA23" sqref="AA23"/>
    </sheetView>
  </sheetViews>
  <sheetFormatPr defaultRowHeight="14.4" x14ac:dyDescent="0.3"/>
  <sheetData>
    <row r="1" spans="1:22" x14ac:dyDescent="0.3">
      <c r="A1" s="51" t="s">
        <v>1369</v>
      </c>
      <c r="B1" s="51"/>
      <c r="C1" s="51"/>
      <c r="D1" s="51"/>
      <c r="E1" s="51"/>
      <c r="F1" s="51"/>
      <c r="G1" s="51"/>
      <c r="H1" s="51"/>
      <c r="I1" s="51"/>
      <c r="J1" s="51"/>
      <c r="K1" s="51"/>
      <c r="L1" s="51"/>
      <c r="M1" s="51"/>
      <c r="N1" s="51"/>
      <c r="O1" s="51"/>
      <c r="P1" s="51"/>
      <c r="Q1" s="51"/>
      <c r="R1" s="51"/>
      <c r="S1" s="51"/>
      <c r="T1" s="51"/>
      <c r="U1" s="51"/>
      <c r="V1" s="51"/>
    </row>
    <row r="2" spans="1:22" x14ac:dyDescent="0.3">
      <c r="A2" s="51"/>
      <c r="B2" s="51"/>
      <c r="C2" s="51"/>
      <c r="D2" s="51"/>
      <c r="E2" s="51"/>
      <c r="F2" s="51"/>
      <c r="G2" s="51"/>
      <c r="H2" s="51"/>
      <c r="I2" s="51"/>
      <c r="J2" s="51"/>
      <c r="K2" s="51"/>
      <c r="L2" s="51"/>
      <c r="M2" s="51"/>
      <c r="N2" s="51"/>
      <c r="O2" s="51"/>
      <c r="P2" s="51"/>
      <c r="Q2" s="51"/>
      <c r="R2" s="51"/>
      <c r="S2" s="51"/>
      <c r="T2" s="51"/>
      <c r="U2" s="51"/>
      <c r="V2" s="51"/>
    </row>
    <row r="3" spans="1:22" x14ac:dyDescent="0.3">
      <c r="A3" s="51"/>
      <c r="B3" s="51"/>
      <c r="C3" s="51"/>
      <c r="D3" s="51"/>
      <c r="E3" s="51"/>
      <c r="F3" s="51"/>
      <c r="G3" s="51"/>
      <c r="H3" s="51"/>
      <c r="I3" s="51"/>
      <c r="J3" s="51"/>
      <c r="K3" s="51"/>
      <c r="L3" s="51"/>
      <c r="M3" s="51"/>
      <c r="N3" s="51"/>
      <c r="O3" s="51"/>
      <c r="P3" s="51"/>
      <c r="Q3" s="51"/>
      <c r="R3" s="51"/>
      <c r="S3" s="51"/>
      <c r="T3" s="51"/>
      <c r="U3" s="51"/>
      <c r="V3" s="51"/>
    </row>
    <row r="4" spans="1:22" x14ac:dyDescent="0.3">
      <c r="A4" s="44"/>
      <c r="B4" s="44"/>
      <c r="C4" s="45"/>
      <c r="D4" s="43"/>
      <c r="E4" s="43"/>
      <c r="F4" s="43"/>
      <c r="G4" s="43"/>
      <c r="H4" s="43"/>
      <c r="I4" s="43"/>
      <c r="J4" s="43"/>
      <c r="K4" s="43"/>
      <c r="L4" s="43"/>
      <c r="M4" s="43"/>
      <c r="N4" s="43"/>
      <c r="O4" s="43"/>
      <c r="P4" s="43"/>
      <c r="Q4" s="43"/>
      <c r="R4" s="43"/>
      <c r="S4" s="43"/>
      <c r="T4" s="43"/>
      <c r="U4" s="43"/>
      <c r="V4" s="43"/>
    </row>
    <row r="5" spans="1:22" x14ac:dyDescent="0.3">
      <c r="A5" s="44"/>
      <c r="B5" s="44"/>
      <c r="C5" s="45"/>
      <c r="D5" s="43"/>
      <c r="E5" s="43"/>
      <c r="F5" s="43"/>
      <c r="G5" s="43"/>
      <c r="H5" s="43"/>
      <c r="I5" s="43"/>
      <c r="J5" s="43"/>
      <c r="K5" s="43"/>
      <c r="L5" s="43"/>
      <c r="M5" s="43"/>
      <c r="N5" s="43"/>
      <c r="O5" s="43"/>
      <c r="P5" s="43"/>
      <c r="Q5" s="43"/>
      <c r="R5" s="43"/>
      <c r="S5" s="43"/>
      <c r="T5" s="43"/>
      <c r="U5" s="43"/>
      <c r="V5" s="43"/>
    </row>
    <row r="6" spans="1:22" x14ac:dyDescent="0.3">
      <c r="A6" s="44"/>
      <c r="B6" s="44"/>
      <c r="C6" s="45"/>
      <c r="D6" s="43"/>
      <c r="E6" s="43"/>
      <c r="F6" s="43"/>
      <c r="G6" s="43"/>
      <c r="H6" s="43"/>
      <c r="I6" s="43"/>
      <c r="J6" s="43"/>
      <c r="K6" s="43"/>
      <c r="L6" s="43"/>
      <c r="M6" s="43"/>
      <c r="N6" s="43"/>
      <c r="O6" s="43"/>
      <c r="P6" s="43"/>
      <c r="Q6" s="43"/>
      <c r="R6" s="43"/>
      <c r="S6" s="43"/>
      <c r="T6" s="43"/>
      <c r="U6" s="43"/>
      <c r="V6" s="43"/>
    </row>
    <row r="7" spans="1:22" x14ac:dyDescent="0.3">
      <c r="A7" s="44"/>
      <c r="B7" s="44"/>
      <c r="C7" s="45"/>
      <c r="D7" s="43"/>
      <c r="E7" s="43"/>
      <c r="F7" s="43"/>
      <c r="G7" s="43"/>
      <c r="H7" s="43"/>
      <c r="I7" s="43"/>
      <c r="J7" s="43"/>
      <c r="K7" s="43"/>
      <c r="L7" s="43"/>
      <c r="M7" s="43"/>
      <c r="N7" s="43"/>
      <c r="O7" s="43"/>
      <c r="P7" s="43"/>
      <c r="Q7" s="43"/>
      <c r="R7" s="43"/>
      <c r="S7" s="43"/>
      <c r="T7" s="43"/>
      <c r="U7" s="43"/>
      <c r="V7" s="43"/>
    </row>
    <row r="8" spans="1:22" x14ac:dyDescent="0.3">
      <c r="A8" s="44"/>
      <c r="B8" s="44"/>
      <c r="C8" s="45"/>
      <c r="D8" s="43"/>
      <c r="E8" s="43"/>
      <c r="F8" s="43"/>
      <c r="G8" s="43"/>
      <c r="H8" s="43"/>
      <c r="I8" s="43"/>
      <c r="J8" s="43"/>
      <c r="K8" s="43"/>
      <c r="L8" s="43"/>
      <c r="M8" s="43"/>
      <c r="N8" s="43"/>
      <c r="O8" s="43"/>
      <c r="P8" s="43"/>
      <c r="Q8" s="43"/>
      <c r="R8" s="43"/>
      <c r="S8" s="43"/>
      <c r="T8" s="43"/>
      <c r="U8" s="43"/>
      <c r="V8" s="43"/>
    </row>
    <row r="9" spans="1:22" x14ac:dyDescent="0.3">
      <c r="A9" s="44"/>
      <c r="B9" s="44"/>
      <c r="C9" s="45"/>
      <c r="D9" s="43"/>
      <c r="E9" s="43"/>
      <c r="F9" s="43"/>
      <c r="G9" s="43"/>
      <c r="H9" s="43"/>
      <c r="I9" s="43"/>
      <c r="J9" s="43"/>
      <c r="K9" s="43"/>
      <c r="L9" s="43"/>
      <c r="M9" s="43"/>
      <c r="N9" s="43"/>
      <c r="O9" s="43"/>
      <c r="P9" s="43"/>
      <c r="Q9" s="43"/>
      <c r="R9" s="43"/>
      <c r="S9" s="43"/>
      <c r="T9" s="43"/>
      <c r="U9" s="43"/>
      <c r="V9" s="43"/>
    </row>
    <row r="10" spans="1:22" x14ac:dyDescent="0.3">
      <c r="A10" s="44"/>
      <c r="B10" s="44"/>
      <c r="C10" s="45"/>
      <c r="D10" s="43"/>
      <c r="E10" s="43"/>
      <c r="F10" s="43"/>
      <c r="G10" s="43"/>
      <c r="H10" s="43"/>
      <c r="I10" s="43"/>
      <c r="J10" s="43"/>
      <c r="K10" s="43"/>
      <c r="L10" s="43"/>
      <c r="M10" s="43"/>
      <c r="N10" s="43"/>
      <c r="O10" s="43"/>
      <c r="P10" s="43"/>
      <c r="Q10" s="43"/>
      <c r="R10" s="43"/>
      <c r="S10" s="43"/>
      <c r="T10" s="43"/>
      <c r="U10" s="43"/>
      <c r="V10" s="43"/>
    </row>
    <row r="11" spans="1:22" x14ac:dyDescent="0.3">
      <c r="A11" s="44"/>
      <c r="B11" s="44"/>
      <c r="C11" s="45"/>
      <c r="D11" s="43"/>
      <c r="E11" s="43"/>
      <c r="F11" s="43"/>
      <c r="G11" s="43"/>
      <c r="H11" s="43"/>
      <c r="I11" s="43"/>
      <c r="J11" s="43"/>
      <c r="K11" s="43"/>
      <c r="L11" s="43"/>
      <c r="M11" s="43"/>
      <c r="N11" s="43"/>
      <c r="O11" s="43"/>
      <c r="P11" s="43"/>
      <c r="Q11" s="43"/>
      <c r="R11" s="43"/>
      <c r="S11" s="43"/>
      <c r="T11" s="43"/>
      <c r="U11" s="43"/>
      <c r="V11" s="43"/>
    </row>
    <row r="12" spans="1:22" x14ac:dyDescent="0.3">
      <c r="A12" s="44"/>
      <c r="B12" s="44"/>
      <c r="C12" s="45"/>
      <c r="D12" s="43"/>
      <c r="E12" s="43"/>
      <c r="F12" s="43"/>
      <c r="G12" s="43"/>
      <c r="H12" s="43"/>
      <c r="I12" s="43"/>
      <c r="J12" s="43"/>
      <c r="K12" s="43"/>
      <c r="L12" s="43"/>
      <c r="M12" s="43"/>
      <c r="N12" s="43"/>
      <c r="O12" s="43"/>
      <c r="P12" s="43"/>
      <c r="Q12" s="43"/>
      <c r="R12" s="43"/>
      <c r="S12" s="43"/>
      <c r="T12" s="43"/>
      <c r="U12" s="43"/>
      <c r="V12" s="43"/>
    </row>
    <row r="13" spans="1:22" x14ac:dyDescent="0.3">
      <c r="A13" s="44"/>
      <c r="B13" s="44"/>
      <c r="C13" s="45"/>
      <c r="D13" s="43"/>
      <c r="E13" s="43"/>
      <c r="F13" s="43"/>
      <c r="G13" s="43"/>
      <c r="H13" s="43"/>
      <c r="I13" s="43"/>
      <c r="J13" s="43"/>
      <c r="K13" s="43"/>
      <c r="L13" s="43"/>
      <c r="M13" s="43"/>
      <c r="N13" s="43"/>
      <c r="O13" s="43"/>
      <c r="P13" s="43"/>
      <c r="Q13" s="43"/>
      <c r="R13" s="43"/>
      <c r="S13" s="43"/>
      <c r="T13" s="43"/>
      <c r="U13" s="43"/>
      <c r="V13" s="43"/>
    </row>
    <row r="14" spans="1:22" x14ac:dyDescent="0.3">
      <c r="A14" s="44"/>
      <c r="B14" s="44"/>
      <c r="C14" s="45"/>
      <c r="D14" s="43"/>
      <c r="E14" s="43"/>
      <c r="F14" s="43"/>
      <c r="G14" s="43"/>
      <c r="H14" s="43"/>
      <c r="I14" s="43"/>
      <c r="J14" s="43"/>
      <c r="K14" s="43"/>
      <c r="L14" s="43"/>
      <c r="M14" s="43"/>
      <c r="N14" s="43"/>
      <c r="O14" s="43"/>
      <c r="P14" s="43"/>
      <c r="Q14" s="43"/>
      <c r="R14" s="43"/>
      <c r="S14" s="43"/>
      <c r="T14" s="43"/>
      <c r="U14" s="43"/>
      <c r="V14" s="43"/>
    </row>
    <row r="15" spans="1:22" x14ac:dyDescent="0.3">
      <c r="A15" s="44"/>
      <c r="B15" s="44"/>
      <c r="C15" s="45"/>
      <c r="D15" s="43"/>
      <c r="E15" s="43"/>
      <c r="F15" s="43"/>
      <c r="G15" s="43"/>
      <c r="H15" s="43"/>
      <c r="I15" s="43"/>
      <c r="J15" s="43"/>
      <c r="K15" s="43"/>
      <c r="L15" s="43"/>
      <c r="M15" s="43"/>
      <c r="N15" s="43"/>
      <c r="O15" s="43"/>
      <c r="P15" s="43"/>
      <c r="Q15" s="43"/>
      <c r="R15" s="43"/>
      <c r="S15" s="43"/>
      <c r="T15" s="43"/>
      <c r="U15" s="43"/>
      <c r="V15" s="43"/>
    </row>
    <row r="16" spans="1:22" x14ac:dyDescent="0.3">
      <c r="A16" s="44"/>
      <c r="B16" s="44"/>
      <c r="C16" s="45"/>
      <c r="D16" s="43"/>
      <c r="E16" s="43"/>
      <c r="F16" s="43"/>
      <c r="G16" s="43"/>
      <c r="H16" s="43"/>
      <c r="I16" s="43"/>
      <c r="J16" s="43"/>
      <c r="K16" s="43"/>
      <c r="L16" s="43"/>
      <c r="M16" s="43"/>
      <c r="N16" s="43"/>
      <c r="O16" s="43"/>
      <c r="P16" s="43"/>
      <c r="Q16" s="43"/>
      <c r="R16" s="43"/>
      <c r="S16" s="43"/>
      <c r="T16" s="43"/>
      <c r="U16" s="43"/>
      <c r="V16" s="43"/>
    </row>
    <row r="17" spans="1:22" x14ac:dyDescent="0.3">
      <c r="A17" s="44"/>
      <c r="B17" s="44"/>
      <c r="C17" s="45"/>
      <c r="D17" s="43"/>
      <c r="E17" s="43"/>
      <c r="F17" s="43"/>
      <c r="G17" s="43"/>
      <c r="H17" s="43"/>
      <c r="I17" s="43"/>
      <c r="J17" s="43"/>
      <c r="K17" s="43"/>
      <c r="L17" s="43"/>
      <c r="M17" s="43"/>
      <c r="N17" s="43"/>
      <c r="O17" s="43"/>
      <c r="P17" s="43"/>
      <c r="Q17" s="43"/>
      <c r="R17" s="43"/>
      <c r="S17" s="43"/>
      <c r="T17" s="43"/>
      <c r="U17" s="43"/>
      <c r="V17" s="43"/>
    </row>
    <row r="18" spans="1:22" x14ac:dyDescent="0.3">
      <c r="A18" s="44"/>
      <c r="B18" s="44"/>
      <c r="C18" s="45"/>
      <c r="D18" s="43"/>
      <c r="E18" s="43"/>
      <c r="F18" s="43"/>
      <c r="G18" s="43"/>
      <c r="H18" s="43"/>
      <c r="I18" s="43"/>
      <c r="J18" s="43"/>
      <c r="K18" s="43"/>
      <c r="L18" s="43"/>
      <c r="M18" s="43"/>
      <c r="N18" s="43"/>
      <c r="O18" s="43"/>
      <c r="P18" s="43"/>
      <c r="Q18" s="43"/>
      <c r="R18" s="43"/>
      <c r="S18" s="43"/>
      <c r="T18" s="43"/>
      <c r="U18" s="43"/>
      <c r="V18" s="43"/>
    </row>
    <row r="19" spans="1:22" x14ac:dyDescent="0.3">
      <c r="A19" s="44"/>
      <c r="B19" s="44"/>
      <c r="C19" s="45"/>
      <c r="D19" s="43"/>
      <c r="E19" s="43"/>
      <c r="F19" s="43"/>
      <c r="G19" s="43"/>
      <c r="H19" s="43"/>
      <c r="I19" s="43"/>
      <c r="J19" s="43"/>
      <c r="K19" s="43"/>
      <c r="L19" s="43"/>
      <c r="M19" s="43"/>
      <c r="N19" s="43"/>
      <c r="O19" s="43"/>
      <c r="P19" s="43"/>
      <c r="Q19" s="43"/>
      <c r="R19" s="43"/>
      <c r="S19" s="43"/>
      <c r="T19" s="43"/>
      <c r="U19" s="43"/>
      <c r="V19" s="43"/>
    </row>
    <row r="20" spans="1:22" x14ac:dyDescent="0.3">
      <c r="A20" s="44"/>
      <c r="B20" s="44"/>
      <c r="C20" s="45"/>
      <c r="D20" s="43"/>
      <c r="E20" s="43"/>
      <c r="F20" s="43"/>
      <c r="G20" s="43"/>
      <c r="H20" s="43"/>
      <c r="I20" s="43"/>
      <c r="J20" s="43"/>
      <c r="K20" s="43"/>
      <c r="L20" s="43"/>
      <c r="M20" s="43"/>
      <c r="N20" s="43"/>
      <c r="O20" s="43"/>
      <c r="P20" s="43"/>
      <c r="Q20" s="43"/>
      <c r="R20" s="43"/>
      <c r="S20" s="43"/>
      <c r="T20" s="43"/>
      <c r="U20" s="43"/>
      <c r="V20" s="43"/>
    </row>
    <row r="21" spans="1:22" x14ac:dyDescent="0.3">
      <c r="A21" s="44"/>
      <c r="B21" s="44"/>
      <c r="C21" s="45"/>
      <c r="D21" s="43"/>
      <c r="E21" s="43"/>
      <c r="F21" s="43"/>
      <c r="G21" s="43"/>
      <c r="H21" s="43"/>
      <c r="I21" s="43"/>
      <c r="J21" s="43"/>
      <c r="K21" s="43"/>
      <c r="L21" s="43"/>
      <c r="M21" s="43"/>
      <c r="N21" s="43"/>
      <c r="O21" s="43"/>
      <c r="P21" s="43"/>
      <c r="Q21" s="43"/>
      <c r="R21" s="43"/>
      <c r="S21" s="43"/>
      <c r="T21" s="43"/>
      <c r="U21" s="43"/>
      <c r="V21" s="43"/>
    </row>
    <row r="22" spans="1:22" x14ac:dyDescent="0.3">
      <c r="A22" s="44"/>
      <c r="B22" s="44"/>
      <c r="C22" s="45"/>
      <c r="D22" s="43"/>
      <c r="E22" s="43"/>
      <c r="F22" s="43"/>
      <c r="G22" s="43"/>
      <c r="H22" s="43"/>
      <c r="I22" s="43"/>
      <c r="J22" s="43"/>
      <c r="K22" s="43"/>
      <c r="L22" s="43"/>
      <c r="M22" s="43"/>
      <c r="N22" s="43"/>
      <c r="O22" s="43"/>
      <c r="P22" s="43"/>
      <c r="Q22" s="43"/>
      <c r="R22" s="43"/>
      <c r="S22" s="43"/>
      <c r="T22" s="43"/>
      <c r="U22" s="43"/>
      <c r="V22" s="43"/>
    </row>
    <row r="23" spans="1:22" x14ac:dyDescent="0.3">
      <c r="A23" s="44"/>
      <c r="B23" s="44"/>
      <c r="C23" s="45"/>
      <c r="D23" s="43"/>
      <c r="E23" s="43"/>
      <c r="F23" s="43"/>
      <c r="G23" s="43"/>
      <c r="H23" s="43"/>
      <c r="I23" s="43"/>
      <c r="J23" s="43"/>
      <c r="K23" s="43"/>
      <c r="L23" s="43"/>
      <c r="M23" s="43"/>
      <c r="N23" s="43"/>
      <c r="O23" s="43"/>
      <c r="P23" s="43"/>
      <c r="Q23" s="43"/>
      <c r="R23" s="43"/>
      <c r="S23" s="43"/>
      <c r="T23" s="43"/>
      <c r="U23" s="43"/>
      <c r="V23" s="43"/>
    </row>
    <row r="24" spans="1:22" x14ac:dyDescent="0.3">
      <c r="A24" s="44"/>
      <c r="B24" s="44"/>
      <c r="C24" s="45"/>
      <c r="D24" s="43"/>
      <c r="E24" s="43"/>
      <c r="F24" s="43"/>
      <c r="G24" s="43"/>
      <c r="H24" s="43"/>
      <c r="I24" s="43"/>
      <c r="J24" s="43"/>
      <c r="K24" s="43"/>
      <c r="L24" s="43"/>
      <c r="M24" s="43"/>
      <c r="N24" s="43"/>
      <c r="O24" s="43"/>
      <c r="P24" s="43"/>
      <c r="Q24" s="43"/>
      <c r="R24" s="43"/>
      <c r="S24" s="43"/>
      <c r="T24" s="43"/>
      <c r="U24" s="43"/>
      <c r="V24" s="43"/>
    </row>
    <row r="25" spans="1:22" x14ac:dyDescent="0.3">
      <c r="A25" s="44"/>
      <c r="B25" s="44"/>
      <c r="C25" s="45"/>
      <c r="D25" s="43"/>
      <c r="E25" s="43"/>
      <c r="F25" s="43"/>
      <c r="G25" s="43"/>
      <c r="H25" s="43"/>
      <c r="I25" s="43"/>
      <c r="J25" s="43"/>
      <c r="K25" s="43"/>
      <c r="L25" s="43"/>
      <c r="M25" s="43"/>
      <c r="N25" s="43"/>
      <c r="O25" s="43"/>
      <c r="P25" s="43"/>
      <c r="Q25" s="43"/>
      <c r="R25" s="43"/>
      <c r="S25" s="43"/>
      <c r="T25" s="43"/>
      <c r="U25" s="43"/>
      <c r="V25" s="43"/>
    </row>
    <row r="26" spans="1:22" x14ac:dyDescent="0.3">
      <c r="A26" s="44"/>
      <c r="B26" s="44"/>
      <c r="C26" s="45"/>
      <c r="D26" s="43"/>
      <c r="E26" s="43"/>
      <c r="F26" s="43"/>
      <c r="G26" s="43"/>
      <c r="H26" s="43"/>
      <c r="I26" s="43"/>
      <c r="J26" s="43"/>
      <c r="K26" s="43"/>
      <c r="L26" s="43"/>
      <c r="M26" s="43"/>
      <c r="N26" s="43"/>
      <c r="O26" s="43"/>
      <c r="P26" s="43"/>
      <c r="Q26" s="43"/>
      <c r="R26" s="43"/>
      <c r="S26" s="43"/>
      <c r="T26" s="43"/>
      <c r="U26" s="43"/>
      <c r="V26" s="43"/>
    </row>
    <row r="27" spans="1:22" x14ac:dyDescent="0.3">
      <c r="A27" s="44"/>
      <c r="B27" s="44"/>
      <c r="C27" s="45"/>
      <c r="D27" s="43"/>
      <c r="E27" s="43"/>
      <c r="F27" s="43"/>
      <c r="G27" s="43"/>
      <c r="H27" s="43"/>
      <c r="I27" s="43"/>
      <c r="J27" s="43"/>
      <c r="K27" s="43"/>
      <c r="L27" s="43"/>
      <c r="M27" s="43"/>
      <c r="N27" s="43"/>
      <c r="O27" s="43"/>
      <c r="P27" s="43"/>
      <c r="Q27" s="43"/>
      <c r="R27" s="43"/>
      <c r="S27" s="43"/>
      <c r="T27" s="43"/>
      <c r="U27" s="43"/>
      <c r="V27" s="43"/>
    </row>
    <row r="28" spans="1:22" x14ac:dyDescent="0.3">
      <c r="A28" s="44"/>
      <c r="B28" s="44"/>
      <c r="C28" s="45"/>
      <c r="D28" s="43"/>
      <c r="E28" s="43"/>
      <c r="F28" s="43"/>
      <c r="G28" s="43"/>
      <c r="H28" s="43"/>
      <c r="I28" s="43"/>
      <c r="J28" s="43"/>
      <c r="K28" s="43"/>
      <c r="L28" s="43"/>
      <c r="M28" s="43"/>
      <c r="N28" s="43"/>
      <c r="O28" s="43"/>
      <c r="P28" s="43"/>
      <c r="Q28" s="43"/>
      <c r="R28" s="43"/>
      <c r="S28" s="43"/>
      <c r="T28" s="43"/>
      <c r="U28" s="43"/>
      <c r="V28" s="43"/>
    </row>
    <row r="29" spans="1:22" x14ac:dyDescent="0.3">
      <c r="A29" s="44"/>
      <c r="B29" s="44"/>
      <c r="C29" s="45"/>
      <c r="D29" s="43"/>
      <c r="E29" s="43"/>
      <c r="F29" s="43"/>
      <c r="G29" s="43"/>
      <c r="H29" s="43"/>
      <c r="I29" s="43"/>
      <c r="J29" s="43"/>
      <c r="K29" s="43"/>
      <c r="L29" s="43"/>
      <c r="M29" s="43"/>
      <c r="N29" s="43"/>
      <c r="O29" s="43"/>
      <c r="P29" s="43"/>
      <c r="Q29" s="43"/>
      <c r="R29" s="43"/>
      <c r="S29" s="43"/>
      <c r="T29" s="43"/>
      <c r="U29" s="43"/>
      <c r="V29" s="43"/>
    </row>
    <row r="30" spans="1:22" x14ac:dyDescent="0.3">
      <c r="A30" s="44"/>
      <c r="B30" s="44"/>
      <c r="C30" s="45"/>
      <c r="D30" s="43"/>
      <c r="E30" s="43"/>
      <c r="F30" s="43"/>
      <c r="G30" s="43"/>
      <c r="H30" s="43"/>
      <c r="I30" s="43"/>
      <c r="J30" s="43"/>
      <c r="K30" s="43"/>
      <c r="L30" s="43"/>
      <c r="M30" s="43"/>
      <c r="N30" s="43"/>
      <c r="O30" s="43"/>
      <c r="P30" s="43"/>
      <c r="Q30" s="43"/>
      <c r="R30" s="43"/>
      <c r="S30" s="43"/>
      <c r="T30" s="43"/>
      <c r="U30" s="43"/>
      <c r="V30" s="43"/>
    </row>
    <row r="31" spans="1:22" x14ac:dyDescent="0.3">
      <c r="A31" s="44"/>
      <c r="B31" s="44"/>
      <c r="C31" s="45"/>
      <c r="D31" s="43"/>
      <c r="E31" s="43"/>
      <c r="F31" s="43"/>
      <c r="G31" s="43"/>
      <c r="H31" s="43"/>
      <c r="I31" s="43"/>
      <c r="J31" s="43"/>
      <c r="K31" s="43"/>
      <c r="L31" s="43"/>
      <c r="M31" s="43"/>
      <c r="N31" s="43"/>
      <c r="O31" s="43"/>
      <c r="P31" s="43"/>
      <c r="Q31" s="43"/>
      <c r="R31" s="43"/>
      <c r="S31" s="43"/>
      <c r="T31" s="43"/>
      <c r="U31" s="43"/>
      <c r="V31" s="43"/>
    </row>
    <row r="32" spans="1:22" x14ac:dyDescent="0.3">
      <c r="A32" s="44"/>
      <c r="B32" s="44"/>
      <c r="C32" s="45"/>
      <c r="D32" s="43"/>
      <c r="E32" s="43"/>
      <c r="F32" s="43"/>
      <c r="G32" s="43"/>
      <c r="H32" s="43"/>
      <c r="I32" s="43"/>
      <c r="J32" s="43"/>
      <c r="K32" s="43"/>
      <c r="L32" s="43"/>
      <c r="M32" s="43"/>
      <c r="N32" s="43"/>
      <c r="O32" s="43"/>
      <c r="P32" s="43"/>
      <c r="Q32" s="43"/>
      <c r="R32" s="43"/>
      <c r="S32" s="43"/>
      <c r="T32" s="43"/>
      <c r="U32" s="43"/>
      <c r="V32" s="43"/>
    </row>
    <row r="33" spans="1:22" x14ac:dyDescent="0.3">
      <c r="A33" s="44"/>
      <c r="B33" s="44"/>
      <c r="C33" s="45"/>
      <c r="D33" s="43"/>
      <c r="E33" s="43"/>
      <c r="F33" s="43"/>
      <c r="G33" s="43"/>
      <c r="H33" s="43"/>
      <c r="I33" s="43"/>
      <c r="J33" s="43"/>
      <c r="K33" s="43"/>
      <c r="L33" s="43"/>
      <c r="M33" s="43"/>
      <c r="N33" s="43"/>
      <c r="O33" s="43"/>
      <c r="P33" s="43"/>
      <c r="Q33" s="43"/>
      <c r="R33" s="43"/>
      <c r="S33" s="43"/>
      <c r="T33" s="43"/>
      <c r="U33" s="43"/>
      <c r="V33" s="43"/>
    </row>
    <row r="34" spans="1:22" x14ac:dyDescent="0.3">
      <c r="A34" s="44"/>
      <c r="B34" s="44"/>
      <c r="C34" s="45"/>
      <c r="D34" s="43"/>
      <c r="E34" s="43"/>
      <c r="F34" s="43"/>
      <c r="G34" s="43"/>
      <c r="H34" s="43"/>
      <c r="I34" s="43"/>
      <c r="J34" s="43"/>
      <c r="K34" s="43"/>
      <c r="L34" s="43"/>
      <c r="M34" s="43"/>
      <c r="N34" s="43"/>
      <c r="O34" s="43"/>
      <c r="P34" s="43"/>
      <c r="Q34" s="43"/>
      <c r="R34" s="43"/>
      <c r="S34" s="43"/>
      <c r="T34" s="43"/>
      <c r="U34" s="43"/>
      <c r="V34" s="43"/>
    </row>
    <row r="35" spans="1:22" x14ac:dyDescent="0.3">
      <c r="A35" s="44"/>
      <c r="B35" s="44"/>
      <c r="C35" s="45"/>
      <c r="D35" s="43"/>
      <c r="E35" s="43"/>
      <c r="F35" s="43"/>
      <c r="G35" s="43"/>
      <c r="H35" s="43"/>
      <c r="I35" s="43"/>
      <c r="J35" s="43"/>
      <c r="K35" s="43"/>
      <c r="L35" s="43"/>
      <c r="M35" s="43"/>
      <c r="N35" s="43"/>
      <c r="O35" s="43"/>
      <c r="P35" s="43"/>
      <c r="Q35" s="43"/>
      <c r="R35" s="43"/>
      <c r="S35" s="43"/>
      <c r="T35" s="43"/>
      <c r="U35" s="43"/>
      <c r="V35" s="43"/>
    </row>
    <row r="36" spans="1:22" x14ac:dyDescent="0.3">
      <c r="A36" s="44"/>
      <c r="B36" s="44"/>
      <c r="C36" s="45"/>
      <c r="D36" s="43"/>
      <c r="E36" s="43"/>
      <c r="F36" s="43"/>
      <c r="G36" s="43"/>
      <c r="H36" s="43"/>
      <c r="I36" s="43"/>
      <c r="J36" s="43"/>
      <c r="K36" s="43"/>
      <c r="L36" s="43"/>
      <c r="M36" s="43"/>
      <c r="N36" s="43"/>
      <c r="O36" s="43"/>
      <c r="P36" s="43"/>
      <c r="Q36" s="43"/>
      <c r="R36" s="43"/>
      <c r="S36" s="43"/>
      <c r="T36" s="43"/>
      <c r="U36" s="43"/>
      <c r="V36" s="43"/>
    </row>
    <row r="37" spans="1:22" x14ac:dyDescent="0.3">
      <c r="A37" s="44"/>
      <c r="B37" s="44"/>
      <c r="C37" s="45"/>
      <c r="D37" s="43"/>
      <c r="E37" s="43"/>
      <c r="F37" s="43"/>
      <c r="G37" s="43"/>
      <c r="H37" s="43"/>
      <c r="I37" s="43"/>
      <c r="J37" s="43"/>
      <c r="K37" s="43"/>
      <c r="L37" s="43"/>
      <c r="M37" s="43"/>
      <c r="N37" s="43"/>
      <c r="O37" s="43"/>
      <c r="P37" s="43"/>
      <c r="Q37" s="43"/>
      <c r="R37" s="43"/>
      <c r="S37" s="43"/>
      <c r="T37" s="43"/>
      <c r="U37" s="43"/>
      <c r="V37" s="43"/>
    </row>
    <row r="38" spans="1:22" x14ac:dyDescent="0.3">
      <c r="A38" s="44"/>
      <c r="B38" s="44"/>
      <c r="C38" s="45"/>
      <c r="D38" s="43"/>
      <c r="E38" s="43"/>
      <c r="F38" s="43"/>
      <c r="G38" s="43"/>
      <c r="H38" s="43"/>
      <c r="I38" s="43"/>
      <c r="J38" s="43"/>
      <c r="K38" s="43"/>
      <c r="L38" s="43"/>
      <c r="M38" s="43"/>
      <c r="N38" s="43"/>
      <c r="O38" s="43"/>
      <c r="P38" s="43"/>
      <c r="Q38" s="43"/>
      <c r="R38" s="43"/>
      <c r="S38" s="43"/>
      <c r="T38" s="43"/>
      <c r="U38" s="43"/>
      <c r="V38" s="43"/>
    </row>
    <row r="39" spans="1:22" x14ac:dyDescent="0.3">
      <c r="A39" s="44"/>
      <c r="B39" s="44"/>
      <c r="C39" s="45"/>
      <c r="D39" s="43"/>
      <c r="E39" s="43"/>
      <c r="F39" s="43"/>
      <c r="G39" s="43"/>
      <c r="H39" s="43"/>
      <c r="I39" s="43"/>
      <c r="J39" s="43"/>
      <c r="K39" s="43"/>
      <c r="L39" s="43"/>
      <c r="M39" s="43"/>
      <c r="N39" s="43"/>
      <c r="O39" s="43"/>
      <c r="P39" s="43"/>
      <c r="Q39" s="43"/>
      <c r="R39" s="43"/>
      <c r="S39" s="43"/>
      <c r="T39" s="43"/>
      <c r="U39" s="43"/>
      <c r="V39" s="43"/>
    </row>
    <row r="40" spans="1:22" x14ac:dyDescent="0.3">
      <c r="A40" s="44"/>
      <c r="B40" s="44"/>
      <c r="C40" s="45"/>
      <c r="D40" s="43"/>
      <c r="E40" s="43"/>
      <c r="F40" s="43"/>
      <c r="G40" s="43"/>
      <c r="H40" s="43"/>
      <c r="I40" s="43"/>
      <c r="J40" s="43"/>
      <c r="K40" s="43"/>
      <c r="L40" s="43"/>
      <c r="M40" s="43"/>
      <c r="N40" s="43"/>
      <c r="O40" s="43"/>
      <c r="P40" s="43"/>
      <c r="Q40" s="43"/>
      <c r="R40" s="43"/>
      <c r="S40" s="43"/>
      <c r="T40" s="43"/>
      <c r="U40" s="43"/>
      <c r="V40" s="43"/>
    </row>
    <row r="41" spans="1:22" x14ac:dyDescent="0.3">
      <c r="A41" s="44"/>
      <c r="B41" s="44"/>
      <c r="C41" s="45"/>
      <c r="D41" s="43"/>
      <c r="E41" s="43"/>
      <c r="F41" s="43"/>
      <c r="G41" s="43"/>
      <c r="H41" s="43"/>
      <c r="I41" s="43"/>
      <c r="J41" s="43"/>
      <c r="K41" s="43"/>
      <c r="L41" s="43"/>
      <c r="M41" s="43"/>
      <c r="N41" s="43"/>
      <c r="O41" s="43"/>
      <c r="P41" s="43"/>
      <c r="Q41" s="43"/>
      <c r="R41" s="43"/>
      <c r="S41" s="43"/>
      <c r="T41" s="43"/>
      <c r="U41" s="43"/>
      <c r="V41" s="43"/>
    </row>
    <row r="42" spans="1:22" x14ac:dyDescent="0.3">
      <c r="A42" s="44"/>
      <c r="B42" s="44"/>
      <c r="C42" s="45"/>
      <c r="D42" s="43"/>
      <c r="E42" s="43"/>
      <c r="F42" s="43"/>
      <c r="G42" s="43"/>
      <c r="H42" s="43"/>
      <c r="I42" s="43"/>
      <c r="J42" s="43"/>
      <c r="K42" s="43"/>
      <c r="L42" s="43"/>
      <c r="M42" s="43"/>
      <c r="N42" s="43"/>
      <c r="O42" s="43"/>
      <c r="P42" s="43"/>
      <c r="Q42" s="43"/>
      <c r="R42" s="43"/>
      <c r="S42" s="43"/>
      <c r="T42" s="43"/>
      <c r="U42" s="43"/>
      <c r="V42" s="43"/>
    </row>
    <row r="43" spans="1:22" x14ac:dyDescent="0.3">
      <c r="A43" s="44"/>
      <c r="B43" s="44"/>
      <c r="C43" s="45"/>
      <c r="D43" s="43"/>
      <c r="E43" s="43"/>
      <c r="F43" s="43"/>
      <c r="G43" s="43"/>
      <c r="H43" s="43"/>
      <c r="I43" s="43"/>
      <c r="J43" s="43"/>
      <c r="K43" s="43"/>
      <c r="L43" s="43"/>
      <c r="M43" s="43"/>
      <c r="N43" s="43"/>
      <c r="O43" s="43"/>
      <c r="P43" s="43"/>
      <c r="Q43" s="43"/>
      <c r="R43" s="43"/>
      <c r="S43" s="43"/>
      <c r="T43" s="43"/>
      <c r="U43" s="43"/>
      <c r="V43" s="43"/>
    </row>
    <row r="44" spans="1:22" x14ac:dyDescent="0.3">
      <c r="A44" s="44"/>
      <c r="B44" s="44"/>
      <c r="C44" s="45"/>
      <c r="D44" s="43"/>
      <c r="E44" s="43"/>
      <c r="F44" s="43"/>
      <c r="G44" s="43"/>
      <c r="H44" s="43"/>
      <c r="I44" s="43"/>
      <c r="J44" s="43"/>
      <c r="K44" s="43"/>
      <c r="L44" s="43"/>
      <c r="M44" s="43"/>
      <c r="N44" s="43"/>
      <c r="O44" s="43"/>
      <c r="P44" s="43"/>
      <c r="Q44" s="43"/>
      <c r="R44" s="43"/>
      <c r="S44" s="43"/>
      <c r="T44" s="43"/>
      <c r="U44" s="43"/>
      <c r="V44" s="43"/>
    </row>
    <row r="45" spans="1:22" x14ac:dyDescent="0.3">
      <c r="A45" s="44"/>
      <c r="B45" s="44"/>
      <c r="C45" s="45"/>
      <c r="D45" s="43"/>
      <c r="E45" s="43"/>
      <c r="F45" s="43"/>
      <c r="G45" s="43"/>
      <c r="H45" s="43"/>
      <c r="I45" s="43"/>
      <c r="J45" s="43"/>
      <c r="K45" s="43"/>
      <c r="L45" s="43"/>
      <c r="M45" s="43"/>
      <c r="N45" s="43"/>
      <c r="O45" s="43"/>
      <c r="P45" s="43"/>
      <c r="Q45" s="43"/>
      <c r="R45" s="43"/>
      <c r="S45" s="43"/>
      <c r="T45" s="43"/>
      <c r="U45" s="43"/>
      <c r="V45" s="43"/>
    </row>
    <row r="46" spans="1:22" x14ac:dyDescent="0.3">
      <c r="A46" s="44"/>
      <c r="B46" s="44"/>
      <c r="C46" s="45"/>
      <c r="D46" s="43"/>
      <c r="E46" s="43"/>
      <c r="F46" s="43"/>
      <c r="G46" s="43"/>
      <c r="H46" s="43"/>
      <c r="I46" s="43"/>
      <c r="J46" s="43"/>
      <c r="K46" s="43"/>
      <c r="L46" s="43"/>
      <c r="M46" s="43"/>
      <c r="N46" s="43"/>
      <c r="O46" s="43"/>
      <c r="P46" s="43"/>
      <c r="Q46" s="43"/>
      <c r="R46" s="43"/>
      <c r="S46" s="43"/>
      <c r="T46" s="43"/>
      <c r="U46" s="43"/>
      <c r="V46" s="43"/>
    </row>
    <row r="47" spans="1:22" x14ac:dyDescent="0.3">
      <c r="A47" s="44"/>
      <c r="B47" s="44"/>
      <c r="C47" s="45"/>
      <c r="D47" s="43"/>
      <c r="E47" s="43"/>
      <c r="F47" s="43"/>
      <c r="G47" s="43"/>
      <c r="H47" s="43"/>
      <c r="I47" s="43"/>
      <c r="J47" s="43"/>
      <c r="K47" s="43"/>
      <c r="L47" s="43"/>
      <c r="M47" s="43"/>
      <c r="N47" s="43"/>
      <c r="O47" s="43"/>
      <c r="P47" s="43"/>
      <c r="Q47" s="43"/>
      <c r="R47" s="43"/>
      <c r="S47" s="43"/>
      <c r="T47" s="43"/>
      <c r="U47" s="43"/>
      <c r="V47" s="43"/>
    </row>
    <row r="48" spans="1:22" x14ac:dyDescent="0.3">
      <c r="A48" s="44"/>
      <c r="B48" s="44"/>
      <c r="C48" s="45"/>
      <c r="D48" s="43"/>
      <c r="E48" s="43"/>
      <c r="F48" s="43"/>
      <c r="G48" s="43"/>
      <c r="H48" s="43"/>
      <c r="I48" s="43"/>
      <c r="J48" s="43"/>
      <c r="K48" s="43"/>
      <c r="L48" s="43"/>
      <c r="M48" s="43"/>
      <c r="N48" s="43"/>
      <c r="O48" s="43"/>
      <c r="P48" s="43"/>
      <c r="Q48" s="43"/>
      <c r="R48" s="43"/>
      <c r="S48" s="43"/>
      <c r="T48" s="43"/>
      <c r="U48" s="43"/>
      <c r="V48" s="43"/>
    </row>
    <row r="49" spans="1:22" x14ac:dyDescent="0.3">
      <c r="A49" s="44"/>
      <c r="B49" s="44"/>
      <c r="C49" s="45"/>
      <c r="D49" s="43"/>
      <c r="E49" s="43"/>
      <c r="F49" s="43"/>
      <c r="G49" s="43"/>
      <c r="H49" s="43"/>
      <c r="I49" s="43"/>
      <c r="J49" s="43"/>
      <c r="K49" s="43"/>
      <c r="L49" s="43"/>
      <c r="M49" s="43"/>
      <c r="N49" s="43"/>
      <c r="O49" s="43"/>
      <c r="P49" s="43"/>
      <c r="Q49" s="43"/>
      <c r="R49" s="43"/>
      <c r="S49" s="43"/>
      <c r="T49" s="43"/>
      <c r="U49" s="43"/>
      <c r="V49" s="43"/>
    </row>
    <row r="50" spans="1:22" x14ac:dyDescent="0.3">
      <c r="A50" s="44"/>
      <c r="B50" s="44"/>
      <c r="C50" s="45"/>
      <c r="D50" s="43"/>
      <c r="E50" s="43"/>
      <c r="F50" s="43"/>
      <c r="G50" s="43"/>
      <c r="H50" s="43"/>
      <c r="I50" s="43"/>
      <c r="J50" s="43"/>
      <c r="K50" s="43"/>
      <c r="L50" s="43"/>
      <c r="M50" s="43"/>
      <c r="N50" s="43"/>
      <c r="O50" s="43"/>
      <c r="P50" s="43"/>
      <c r="Q50" s="43"/>
      <c r="R50" s="43"/>
      <c r="S50" s="43"/>
      <c r="T50" s="43"/>
      <c r="U50" s="43"/>
      <c r="V50" s="43"/>
    </row>
    <row r="51" spans="1:22" x14ac:dyDescent="0.3">
      <c r="A51" s="44"/>
      <c r="B51" s="44"/>
      <c r="C51" s="45"/>
      <c r="D51" s="43"/>
      <c r="E51" s="43"/>
      <c r="F51" s="43"/>
      <c r="G51" s="43"/>
      <c r="H51" s="43"/>
      <c r="I51" s="43"/>
      <c r="J51" s="43"/>
      <c r="K51" s="43"/>
      <c r="L51" s="43"/>
      <c r="M51" s="43"/>
      <c r="N51" s="43"/>
      <c r="O51" s="43"/>
      <c r="P51" s="43"/>
      <c r="Q51" s="43"/>
      <c r="R51" s="43"/>
      <c r="S51" s="43"/>
      <c r="T51" s="43"/>
      <c r="U51" s="43"/>
      <c r="V51" s="43"/>
    </row>
    <row r="52" spans="1:22" x14ac:dyDescent="0.3">
      <c r="A52" s="44"/>
      <c r="B52" s="44"/>
      <c r="C52" s="45"/>
      <c r="D52" s="43"/>
      <c r="E52" s="43"/>
      <c r="F52" s="43"/>
      <c r="G52" s="43"/>
      <c r="H52" s="43"/>
      <c r="I52" s="43"/>
      <c r="J52" s="43"/>
      <c r="K52" s="43"/>
      <c r="L52" s="43"/>
      <c r="M52" s="43"/>
      <c r="N52" s="43"/>
      <c r="O52" s="43"/>
      <c r="P52" s="43"/>
      <c r="Q52" s="43"/>
      <c r="R52" s="43"/>
      <c r="S52" s="43"/>
      <c r="T52" s="43"/>
      <c r="U52" s="43"/>
      <c r="V52" s="43"/>
    </row>
    <row r="53" spans="1:22" x14ac:dyDescent="0.3">
      <c r="A53" s="44"/>
      <c r="B53" s="44"/>
      <c r="C53" s="45"/>
      <c r="D53" s="43"/>
      <c r="E53" s="43"/>
      <c r="F53" s="43"/>
      <c r="G53" s="43"/>
      <c r="H53" s="43"/>
      <c r="I53" s="43"/>
      <c r="J53" s="43"/>
      <c r="K53" s="43"/>
      <c r="L53" s="43"/>
      <c r="M53" s="43"/>
      <c r="N53" s="43"/>
      <c r="O53" s="43"/>
      <c r="P53" s="43"/>
      <c r="Q53" s="43"/>
      <c r="R53" s="43"/>
      <c r="S53" s="43"/>
      <c r="T53" s="43"/>
      <c r="U53" s="43"/>
      <c r="V53" s="43"/>
    </row>
    <row r="54" spans="1:22" x14ac:dyDescent="0.3">
      <c r="A54" s="44"/>
      <c r="B54" s="44"/>
      <c r="C54" s="45"/>
      <c r="D54" s="43"/>
      <c r="E54" s="43"/>
      <c r="F54" s="43"/>
      <c r="G54" s="43"/>
      <c r="H54" s="43"/>
      <c r="I54" s="43"/>
      <c r="J54" s="43"/>
      <c r="K54" s="43"/>
      <c r="L54" s="43"/>
      <c r="M54" s="43"/>
      <c r="N54" s="43"/>
      <c r="O54" s="43"/>
      <c r="P54" s="43"/>
      <c r="Q54" s="43"/>
      <c r="R54" s="43"/>
      <c r="S54" s="43"/>
      <c r="T54" s="43"/>
      <c r="U54" s="43"/>
      <c r="V54" s="43"/>
    </row>
    <row r="55" spans="1:22" x14ac:dyDescent="0.3">
      <c r="A55" s="44"/>
      <c r="B55" s="44"/>
      <c r="C55" s="45"/>
      <c r="D55" s="43"/>
      <c r="E55" s="43"/>
      <c r="F55" s="43"/>
      <c r="G55" s="43"/>
      <c r="H55" s="43"/>
      <c r="I55" s="43"/>
      <c r="J55" s="43"/>
      <c r="K55" s="43"/>
      <c r="L55" s="43"/>
      <c r="M55" s="43"/>
      <c r="N55" s="43"/>
      <c r="O55" s="43"/>
      <c r="P55" s="43"/>
      <c r="Q55" s="43"/>
      <c r="R55" s="43"/>
      <c r="S55" s="43"/>
      <c r="T55" s="43"/>
      <c r="U55" s="43"/>
      <c r="V55" s="43"/>
    </row>
    <row r="56" spans="1:22" x14ac:dyDescent="0.3">
      <c r="A56" s="44"/>
      <c r="B56" s="44"/>
      <c r="C56" s="45"/>
      <c r="D56" s="43"/>
      <c r="E56" s="43"/>
      <c r="F56" s="43"/>
      <c r="G56" s="43"/>
      <c r="H56" s="43"/>
      <c r="I56" s="43"/>
      <c r="J56" s="43"/>
      <c r="K56" s="43"/>
      <c r="L56" s="43"/>
      <c r="M56" s="43"/>
      <c r="N56" s="43"/>
      <c r="O56" s="43"/>
      <c r="P56" s="43"/>
      <c r="Q56" s="43"/>
      <c r="R56" s="43"/>
      <c r="S56" s="43"/>
      <c r="T56" s="43"/>
      <c r="U56" s="43"/>
      <c r="V56" s="43"/>
    </row>
    <row r="57" spans="1:22" x14ac:dyDescent="0.3">
      <c r="A57" s="44"/>
      <c r="B57" s="44"/>
      <c r="C57" s="45"/>
      <c r="D57" s="43"/>
      <c r="E57" s="43"/>
      <c r="F57" s="43"/>
      <c r="G57" s="43"/>
      <c r="H57" s="43"/>
      <c r="I57" s="43"/>
      <c r="J57" s="43"/>
      <c r="K57" s="43"/>
      <c r="L57" s="43"/>
      <c r="M57" s="43"/>
      <c r="N57" s="43"/>
      <c r="O57" s="43"/>
      <c r="P57" s="43"/>
      <c r="Q57" s="43"/>
      <c r="R57" s="43"/>
      <c r="S57" s="43"/>
      <c r="T57" s="43"/>
      <c r="U57" s="43"/>
      <c r="V57" s="43"/>
    </row>
    <row r="58" spans="1:22" x14ac:dyDescent="0.3">
      <c r="A58" s="44"/>
      <c r="B58" s="44"/>
      <c r="C58" s="45"/>
      <c r="D58" s="43"/>
      <c r="E58" s="43"/>
      <c r="F58" s="43"/>
      <c r="G58" s="43"/>
      <c r="H58" s="43"/>
      <c r="I58" s="43"/>
      <c r="J58" s="43"/>
      <c r="K58" s="43"/>
      <c r="L58" s="43"/>
      <c r="M58" s="43"/>
      <c r="N58" s="43"/>
      <c r="O58" s="43"/>
      <c r="P58" s="43"/>
      <c r="Q58" s="43"/>
      <c r="R58" s="43"/>
      <c r="S58" s="43"/>
      <c r="T58" s="43"/>
      <c r="U58" s="43"/>
      <c r="V58" s="43"/>
    </row>
    <row r="59" spans="1:22" x14ac:dyDescent="0.3">
      <c r="A59" s="44"/>
      <c r="B59" s="44"/>
      <c r="C59" s="45"/>
      <c r="D59" s="43"/>
      <c r="E59" s="43"/>
      <c r="F59" s="43"/>
      <c r="G59" s="43"/>
      <c r="H59" s="43"/>
      <c r="I59" s="43"/>
      <c r="J59" s="43"/>
      <c r="K59" s="43"/>
      <c r="L59" s="43"/>
      <c r="M59" s="43"/>
      <c r="N59" s="43"/>
      <c r="O59" s="43"/>
      <c r="P59" s="43"/>
      <c r="Q59" s="43"/>
      <c r="R59" s="43"/>
      <c r="S59" s="43"/>
      <c r="T59" s="43"/>
      <c r="U59" s="43"/>
      <c r="V59" s="43"/>
    </row>
    <row r="60" spans="1:22" x14ac:dyDescent="0.3">
      <c r="A60" s="44"/>
      <c r="B60" s="44"/>
      <c r="C60" s="45"/>
      <c r="D60" s="43"/>
      <c r="E60" s="43"/>
      <c r="F60" s="43"/>
      <c r="G60" s="43"/>
      <c r="H60" s="43"/>
      <c r="I60" s="43"/>
      <c r="J60" s="43"/>
      <c r="K60" s="43"/>
      <c r="L60" s="43"/>
      <c r="M60" s="43"/>
      <c r="N60" s="43"/>
      <c r="O60" s="43"/>
      <c r="P60" s="43"/>
      <c r="Q60" s="43"/>
      <c r="R60" s="43"/>
      <c r="S60" s="43"/>
      <c r="T60" s="43"/>
      <c r="U60" s="43"/>
      <c r="V60" s="43"/>
    </row>
    <row r="61" spans="1:22" x14ac:dyDescent="0.3">
      <c r="A61" s="44"/>
      <c r="B61" s="44"/>
      <c r="C61" s="45"/>
      <c r="D61" s="43"/>
      <c r="E61" s="43"/>
      <c r="F61" s="43"/>
      <c r="G61" s="43"/>
      <c r="H61" s="43"/>
      <c r="I61" s="43"/>
      <c r="J61" s="43"/>
      <c r="K61" s="43"/>
      <c r="L61" s="43"/>
      <c r="M61" s="43"/>
      <c r="N61" s="43"/>
      <c r="O61" s="43"/>
      <c r="P61" s="43"/>
      <c r="Q61" s="43"/>
      <c r="R61" s="43"/>
      <c r="S61" s="43"/>
      <c r="T61" s="43"/>
      <c r="U61" s="43"/>
      <c r="V61" s="43"/>
    </row>
    <row r="62" spans="1:22" x14ac:dyDescent="0.3">
      <c r="A62" s="44"/>
      <c r="B62" s="44"/>
      <c r="C62" s="45"/>
      <c r="D62" s="43"/>
      <c r="E62" s="43"/>
      <c r="F62" s="43"/>
      <c r="G62" s="43"/>
      <c r="H62" s="43"/>
      <c r="I62" s="43"/>
      <c r="J62" s="43"/>
      <c r="K62" s="43"/>
      <c r="L62" s="43"/>
      <c r="M62" s="43"/>
      <c r="N62" s="43"/>
      <c r="O62" s="43"/>
      <c r="P62" s="43"/>
      <c r="Q62" s="43"/>
      <c r="R62" s="43"/>
      <c r="S62" s="43"/>
      <c r="T62" s="43"/>
      <c r="U62" s="43"/>
      <c r="V62" s="43"/>
    </row>
    <row r="63" spans="1:22" x14ac:dyDescent="0.3">
      <c r="A63" s="44"/>
      <c r="B63" s="44"/>
      <c r="C63" s="45"/>
      <c r="D63" s="43"/>
      <c r="E63" s="43"/>
      <c r="F63" s="43"/>
      <c r="G63" s="43"/>
      <c r="H63" s="43"/>
      <c r="I63" s="43"/>
      <c r="J63" s="43"/>
      <c r="K63" s="43"/>
      <c r="L63" s="43"/>
      <c r="M63" s="43"/>
      <c r="N63" s="43"/>
      <c r="O63" s="43"/>
      <c r="P63" s="43"/>
      <c r="Q63" s="43"/>
      <c r="R63" s="43"/>
      <c r="S63" s="43"/>
      <c r="T63" s="43"/>
      <c r="U63" s="43"/>
      <c r="V63" s="43"/>
    </row>
    <row r="64" spans="1:22" x14ac:dyDescent="0.3">
      <c r="A64" s="44"/>
      <c r="B64" s="44"/>
      <c r="C64" s="45"/>
      <c r="D64" s="43"/>
      <c r="E64" s="43"/>
      <c r="F64" s="43"/>
      <c r="G64" s="43"/>
      <c r="H64" s="43"/>
      <c r="I64" s="43"/>
      <c r="J64" s="43"/>
      <c r="K64" s="43"/>
      <c r="L64" s="43"/>
      <c r="M64" s="43"/>
      <c r="N64" s="43"/>
      <c r="O64" s="43"/>
      <c r="P64" s="43"/>
      <c r="Q64" s="43"/>
      <c r="R64" s="43"/>
      <c r="S64" s="43"/>
      <c r="T64" s="43"/>
      <c r="U64" s="43"/>
      <c r="V64" s="43"/>
    </row>
    <row r="65" spans="1:22" x14ac:dyDescent="0.3">
      <c r="A65" s="44"/>
      <c r="B65" s="44"/>
      <c r="C65" s="45"/>
      <c r="D65" s="43"/>
      <c r="E65" s="43"/>
      <c r="F65" s="43"/>
      <c r="G65" s="43"/>
      <c r="H65" s="43"/>
      <c r="I65" s="43"/>
      <c r="J65" s="43"/>
      <c r="K65" s="43"/>
      <c r="L65" s="43"/>
      <c r="M65" s="43"/>
      <c r="N65" s="43"/>
      <c r="O65" s="43"/>
      <c r="P65" s="43"/>
      <c r="Q65" s="43"/>
      <c r="R65" s="43"/>
      <c r="S65" s="43"/>
      <c r="T65" s="43"/>
      <c r="U65" s="43"/>
      <c r="V65" s="43"/>
    </row>
    <row r="66" spans="1:22" x14ac:dyDescent="0.3">
      <c r="A66" s="44"/>
      <c r="B66" s="44"/>
      <c r="C66" s="45"/>
      <c r="D66" s="43"/>
      <c r="E66" s="43"/>
      <c r="F66" s="43"/>
      <c r="G66" s="43"/>
      <c r="H66" s="43"/>
      <c r="I66" s="43"/>
      <c r="J66" s="43"/>
      <c r="K66" s="43"/>
      <c r="L66" s="43"/>
      <c r="M66" s="43"/>
      <c r="N66" s="43"/>
      <c r="O66" s="43"/>
      <c r="P66" s="43"/>
      <c r="Q66" s="43"/>
      <c r="R66" s="43"/>
      <c r="S66" s="43"/>
      <c r="T66" s="43"/>
      <c r="U66" s="43"/>
      <c r="V66" s="43"/>
    </row>
    <row r="67" spans="1:22" x14ac:dyDescent="0.3">
      <c r="A67" s="44"/>
      <c r="B67" s="44"/>
      <c r="C67" s="45"/>
      <c r="D67" s="43"/>
      <c r="E67" s="43"/>
      <c r="F67" s="43"/>
      <c r="G67" s="43"/>
      <c r="H67" s="43"/>
      <c r="I67" s="43"/>
      <c r="J67" s="43"/>
      <c r="K67" s="43"/>
      <c r="L67" s="43"/>
      <c r="M67" s="43"/>
      <c r="N67" s="43"/>
      <c r="O67" s="43"/>
      <c r="P67" s="43"/>
      <c r="Q67" s="43"/>
      <c r="R67" s="43"/>
      <c r="S67" s="43"/>
      <c r="T67" s="43"/>
      <c r="U67" s="43"/>
      <c r="V67" s="43"/>
    </row>
    <row r="68" spans="1:22" x14ac:dyDescent="0.3">
      <c r="A68" s="44"/>
      <c r="B68" s="44"/>
      <c r="C68" s="45"/>
      <c r="D68" s="43"/>
      <c r="E68" s="43"/>
      <c r="F68" s="43"/>
      <c r="G68" s="43"/>
      <c r="H68" s="43"/>
      <c r="I68" s="43"/>
      <c r="J68" s="43"/>
      <c r="K68" s="43"/>
      <c r="L68" s="43"/>
      <c r="M68" s="43"/>
      <c r="N68" s="43"/>
      <c r="O68" s="43"/>
      <c r="P68" s="43"/>
      <c r="Q68" s="43"/>
      <c r="R68" s="43"/>
      <c r="S68" s="43"/>
      <c r="T68" s="43"/>
      <c r="U68" s="43"/>
      <c r="V68" s="43"/>
    </row>
    <row r="69" spans="1:22" x14ac:dyDescent="0.3">
      <c r="A69" s="44"/>
      <c r="B69" s="44"/>
      <c r="C69" s="45"/>
      <c r="D69" s="43"/>
      <c r="E69" s="43"/>
      <c r="F69" s="43"/>
      <c r="G69" s="43"/>
      <c r="H69" s="43"/>
      <c r="I69" s="43"/>
      <c r="J69" s="43"/>
      <c r="K69" s="43"/>
      <c r="L69" s="43"/>
      <c r="M69" s="43"/>
      <c r="N69" s="43"/>
      <c r="O69" s="43"/>
      <c r="P69" s="43"/>
      <c r="Q69" s="43"/>
      <c r="R69" s="43"/>
      <c r="S69" s="43"/>
      <c r="T69" s="43"/>
      <c r="U69" s="43"/>
      <c r="V69" s="43"/>
    </row>
    <row r="70" spans="1:22" x14ac:dyDescent="0.3">
      <c r="A70" s="44"/>
      <c r="B70" s="44"/>
      <c r="C70" s="45"/>
      <c r="D70" s="43"/>
      <c r="E70" s="43"/>
      <c r="F70" s="43"/>
      <c r="G70" s="43"/>
      <c r="H70" s="43"/>
      <c r="I70" s="43"/>
      <c r="J70" s="43"/>
      <c r="K70" s="43"/>
      <c r="L70" s="43"/>
      <c r="M70" s="43"/>
      <c r="N70" s="43"/>
      <c r="O70" s="43"/>
      <c r="P70" s="43"/>
      <c r="Q70" s="43"/>
      <c r="R70" s="43"/>
      <c r="S70" s="43"/>
      <c r="T70" s="43"/>
      <c r="U70" s="43"/>
      <c r="V70" s="43"/>
    </row>
    <row r="71" spans="1:22" x14ac:dyDescent="0.3">
      <c r="A71" s="44"/>
      <c r="B71" s="44"/>
      <c r="C71" s="45"/>
      <c r="D71" s="43"/>
      <c r="E71" s="43"/>
      <c r="F71" s="43"/>
      <c r="G71" s="43"/>
      <c r="H71" s="43"/>
      <c r="I71" s="43"/>
      <c r="J71" s="43"/>
      <c r="K71" s="43"/>
      <c r="L71" s="43"/>
      <c r="M71" s="43"/>
      <c r="N71" s="43"/>
      <c r="O71" s="43"/>
      <c r="P71" s="43"/>
      <c r="Q71" s="43"/>
      <c r="R71" s="43"/>
      <c r="S71" s="43"/>
      <c r="T71" s="43"/>
      <c r="U71" s="43"/>
      <c r="V71" s="43"/>
    </row>
    <row r="72" spans="1:22" x14ac:dyDescent="0.3">
      <c r="A72" s="44"/>
      <c r="B72" s="44"/>
      <c r="C72" s="45"/>
      <c r="D72" s="43"/>
      <c r="E72" s="43"/>
      <c r="F72" s="43"/>
      <c r="G72" s="43"/>
      <c r="H72" s="43"/>
      <c r="I72" s="43"/>
      <c r="J72" s="43"/>
      <c r="K72" s="43"/>
      <c r="L72" s="43"/>
      <c r="M72" s="43"/>
      <c r="N72" s="43"/>
      <c r="O72" s="43"/>
      <c r="P72" s="43"/>
      <c r="Q72" s="43"/>
      <c r="R72" s="43"/>
      <c r="S72" s="43"/>
      <c r="T72" s="43"/>
      <c r="U72" s="43"/>
      <c r="V72" s="43"/>
    </row>
    <row r="73" spans="1:22" x14ac:dyDescent="0.3">
      <c r="A73" s="44"/>
      <c r="B73" s="44"/>
      <c r="C73" s="45"/>
      <c r="D73" s="43"/>
      <c r="E73" s="43"/>
      <c r="F73" s="43"/>
      <c r="G73" s="43"/>
      <c r="H73" s="43"/>
      <c r="I73" s="43"/>
      <c r="J73" s="43"/>
      <c r="K73" s="43"/>
      <c r="L73" s="43"/>
      <c r="M73" s="43"/>
      <c r="N73" s="43"/>
      <c r="O73" s="43"/>
      <c r="P73" s="43"/>
      <c r="Q73" s="43"/>
      <c r="R73" s="43"/>
      <c r="S73" s="43"/>
      <c r="T73" s="43"/>
      <c r="U73" s="43"/>
      <c r="V73" s="43"/>
    </row>
    <row r="74" spans="1:22" x14ac:dyDescent="0.3">
      <c r="A74" s="44"/>
      <c r="B74" s="44"/>
      <c r="C74" s="45"/>
      <c r="D74" s="43"/>
      <c r="E74" s="43"/>
      <c r="F74" s="43"/>
      <c r="G74" s="43"/>
      <c r="H74" s="43"/>
      <c r="I74" s="43"/>
      <c r="J74" s="43"/>
      <c r="K74" s="43"/>
      <c r="L74" s="43"/>
      <c r="M74" s="43"/>
      <c r="N74" s="43"/>
      <c r="O74" s="43"/>
      <c r="P74" s="43"/>
      <c r="Q74" s="43"/>
      <c r="R74" s="43"/>
      <c r="S74" s="43"/>
      <c r="T74" s="43"/>
      <c r="U74" s="43"/>
      <c r="V74" s="43"/>
    </row>
    <row r="75" spans="1:22" x14ac:dyDescent="0.3">
      <c r="A75" s="44"/>
      <c r="B75" s="44"/>
      <c r="C75" s="45"/>
      <c r="D75" s="43"/>
      <c r="E75" s="43"/>
      <c r="F75" s="43"/>
      <c r="G75" s="43"/>
      <c r="H75" s="43"/>
      <c r="I75" s="43"/>
      <c r="J75" s="43"/>
      <c r="K75" s="43"/>
      <c r="L75" s="43"/>
      <c r="M75" s="43"/>
      <c r="N75" s="43"/>
      <c r="O75" s="43"/>
      <c r="P75" s="43"/>
      <c r="Q75" s="43"/>
      <c r="R75" s="43"/>
      <c r="S75" s="43"/>
      <c r="T75" s="43"/>
      <c r="U75" s="43"/>
      <c r="V75" s="43"/>
    </row>
    <row r="76" spans="1:22" x14ac:dyDescent="0.3">
      <c r="A76" s="44"/>
      <c r="B76" s="44"/>
      <c r="C76" s="45"/>
      <c r="D76" s="43"/>
      <c r="E76" s="43"/>
      <c r="F76" s="43"/>
      <c r="G76" s="43"/>
      <c r="H76" s="43"/>
      <c r="I76" s="43"/>
      <c r="J76" s="43"/>
      <c r="K76" s="43"/>
      <c r="L76" s="43"/>
      <c r="M76" s="43"/>
      <c r="N76" s="43"/>
      <c r="O76" s="43"/>
      <c r="P76" s="43"/>
      <c r="Q76" s="43"/>
      <c r="R76" s="43"/>
      <c r="S76" s="43"/>
      <c r="T76" s="43"/>
      <c r="U76" s="43"/>
      <c r="V76" s="43"/>
    </row>
    <row r="77" spans="1:22" x14ac:dyDescent="0.3">
      <c r="A77" s="44"/>
      <c r="B77" s="44"/>
      <c r="C77" s="45"/>
      <c r="D77" s="43"/>
      <c r="E77" s="43"/>
      <c r="F77" s="43"/>
      <c r="G77" s="43"/>
      <c r="H77" s="43"/>
      <c r="I77" s="43"/>
      <c r="J77" s="43"/>
      <c r="K77" s="43"/>
      <c r="L77" s="43"/>
      <c r="M77" s="43"/>
      <c r="N77" s="43"/>
      <c r="O77" s="43"/>
      <c r="P77" s="43"/>
      <c r="Q77" s="43"/>
      <c r="R77" s="43"/>
      <c r="S77" s="43"/>
      <c r="T77" s="43"/>
      <c r="U77" s="43"/>
      <c r="V77" s="43"/>
    </row>
    <row r="78" spans="1:22" x14ac:dyDescent="0.3">
      <c r="A78" s="44"/>
      <c r="B78" s="44"/>
      <c r="C78" s="45"/>
      <c r="D78" s="43"/>
      <c r="E78" s="43"/>
      <c r="F78" s="43"/>
      <c r="G78" s="43"/>
      <c r="H78" s="43"/>
      <c r="I78" s="43"/>
      <c r="J78" s="43"/>
      <c r="K78" s="43"/>
      <c r="L78" s="43"/>
      <c r="M78" s="43"/>
      <c r="N78" s="43"/>
      <c r="O78" s="43"/>
      <c r="P78" s="43"/>
      <c r="Q78" s="43"/>
      <c r="R78" s="43"/>
      <c r="S78" s="43"/>
      <c r="T78" s="43"/>
      <c r="U78" s="43"/>
      <c r="V78" s="43"/>
    </row>
    <row r="79" spans="1:22" x14ac:dyDescent="0.3">
      <c r="A79" s="44"/>
      <c r="B79" s="44"/>
      <c r="C79" s="45"/>
      <c r="D79" s="43"/>
      <c r="E79" s="43"/>
      <c r="F79" s="43"/>
      <c r="G79" s="43"/>
      <c r="H79" s="43"/>
      <c r="I79" s="43"/>
      <c r="J79" s="43"/>
      <c r="K79" s="43"/>
      <c r="L79" s="43"/>
      <c r="M79" s="43"/>
      <c r="N79" s="43"/>
      <c r="O79" s="43"/>
      <c r="P79" s="43"/>
      <c r="Q79" s="43"/>
      <c r="R79" s="43"/>
      <c r="S79" s="43"/>
      <c r="T79" s="43"/>
      <c r="U79" s="43"/>
      <c r="V79" s="43"/>
    </row>
    <row r="80" spans="1:22" x14ac:dyDescent="0.3">
      <c r="A80" s="44"/>
      <c r="B80" s="44"/>
      <c r="C80" s="45"/>
      <c r="D80" s="43"/>
      <c r="E80" s="43"/>
      <c r="F80" s="43"/>
      <c r="G80" s="43"/>
      <c r="H80" s="43"/>
      <c r="I80" s="43"/>
      <c r="J80" s="43"/>
      <c r="K80" s="43"/>
      <c r="L80" s="43"/>
      <c r="M80" s="43"/>
      <c r="N80" s="43"/>
      <c r="O80" s="43"/>
      <c r="P80" s="43"/>
      <c r="Q80" s="43"/>
      <c r="R80" s="43"/>
      <c r="S80" s="43"/>
      <c r="T80" s="43"/>
      <c r="U80" s="43"/>
      <c r="V80" s="43"/>
    </row>
    <row r="81" spans="1:22" x14ac:dyDescent="0.3">
      <c r="A81" s="44"/>
      <c r="B81" s="44"/>
      <c r="C81" s="45"/>
      <c r="D81" s="43"/>
      <c r="E81" s="43"/>
      <c r="F81" s="43"/>
      <c r="G81" s="43"/>
      <c r="H81" s="43"/>
      <c r="I81" s="43"/>
      <c r="J81" s="43"/>
      <c r="K81" s="43"/>
      <c r="L81" s="43"/>
      <c r="M81" s="43"/>
      <c r="N81" s="43"/>
      <c r="O81" s="43"/>
      <c r="P81" s="43"/>
      <c r="Q81" s="43"/>
      <c r="R81" s="43"/>
      <c r="S81" s="43"/>
      <c r="T81" s="43"/>
      <c r="U81" s="43"/>
      <c r="V81" s="43"/>
    </row>
    <row r="82" spans="1:22" x14ac:dyDescent="0.3">
      <c r="A82" s="44"/>
      <c r="B82" s="44"/>
      <c r="C82" s="45"/>
      <c r="D82" s="43"/>
      <c r="E82" s="43"/>
      <c r="F82" s="43"/>
      <c r="G82" s="43"/>
      <c r="H82" s="43"/>
      <c r="I82" s="43"/>
      <c r="J82" s="43"/>
      <c r="K82" s="43"/>
      <c r="L82" s="43"/>
      <c r="M82" s="43"/>
      <c r="N82" s="43"/>
      <c r="O82" s="43"/>
      <c r="P82" s="43"/>
      <c r="Q82" s="43"/>
      <c r="R82" s="43"/>
      <c r="S82" s="43"/>
      <c r="T82" s="43"/>
      <c r="U82" s="43"/>
      <c r="V82" s="43"/>
    </row>
    <row r="83" spans="1:22" x14ac:dyDescent="0.3">
      <c r="A83" s="44"/>
      <c r="B83" s="44"/>
      <c r="C83" s="45"/>
      <c r="D83" s="43"/>
      <c r="E83" s="43"/>
      <c r="F83" s="43"/>
      <c r="G83" s="43"/>
      <c r="H83" s="43"/>
      <c r="I83" s="43"/>
      <c r="J83" s="43"/>
      <c r="K83" s="43"/>
      <c r="L83" s="43"/>
      <c r="M83" s="43"/>
      <c r="N83" s="43"/>
      <c r="O83" s="43"/>
      <c r="P83" s="43"/>
      <c r="Q83" s="43"/>
      <c r="R83" s="43"/>
      <c r="S83" s="43"/>
      <c r="T83" s="43"/>
      <c r="U83" s="43"/>
      <c r="V83" s="43"/>
    </row>
    <row r="84" spans="1:22" x14ac:dyDescent="0.3">
      <c r="A84" s="44"/>
      <c r="B84" s="44"/>
      <c r="C84" s="45"/>
      <c r="D84" s="43"/>
      <c r="E84" s="43"/>
      <c r="F84" s="43"/>
      <c r="G84" s="43"/>
      <c r="H84" s="43"/>
      <c r="I84" s="43"/>
      <c r="J84" s="43"/>
      <c r="K84" s="43"/>
      <c r="L84" s="43"/>
      <c r="M84" s="43"/>
      <c r="N84" s="43"/>
      <c r="O84" s="43"/>
      <c r="P84" s="43"/>
      <c r="Q84" s="43"/>
      <c r="R84" s="43"/>
      <c r="S84" s="43"/>
      <c r="T84" s="43"/>
      <c r="U84" s="43"/>
      <c r="V84" s="43"/>
    </row>
    <row r="85" spans="1:22" x14ac:dyDescent="0.3">
      <c r="A85" s="44"/>
      <c r="B85" s="44"/>
      <c r="C85" s="45"/>
      <c r="D85" s="43"/>
      <c r="E85" s="43"/>
      <c r="F85" s="43"/>
      <c r="G85" s="43"/>
      <c r="H85" s="43"/>
      <c r="I85" s="43"/>
      <c r="J85" s="43"/>
      <c r="K85" s="43"/>
      <c r="L85" s="43"/>
      <c r="M85" s="43"/>
      <c r="N85" s="43"/>
      <c r="O85" s="43"/>
      <c r="P85" s="43"/>
      <c r="Q85" s="43"/>
      <c r="R85" s="43"/>
      <c r="S85" s="43"/>
      <c r="T85" s="43"/>
      <c r="U85" s="43"/>
      <c r="V85" s="43"/>
    </row>
    <row r="86" spans="1:22" x14ac:dyDescent="0.3">
      <c r="A86" s="44"/>
      <c r="B86" s="44"/>
      <c r="C86" s="45"/>
      <c r="D86" s="43"/>
      <c r="E86" s="43"/>
      <c r="F86" s="43"/>
      <c r="G86" s="43"/>
      <c r="H86" s="43"/>
      <c r="I86" s="43"/>
      <c r="J86" s="43"/>
      <c r="K86" s="43"/>
      <c r="L86" s="43"/>
      <c r="M86" s="43"/>
      <c r="N86" s="43"/>
      <c r="O86" s="43"/>
      <c r="P86" s="43"/>
      <c r="Q86" s="43"/>
      <c r="R86" s="43"/>
      <c r="S86" s="43"/>
      <c r="T86" s="43"/>
      <c r="U86" s="43"/>
      <c r="V86" s="43"/>
    </row>
    <row r="87" spans="1:22" x14ac:dyDescent="0.3">
      <c r="A87" s="44"/>
      <c r="B87" s="44"/>
      <c r="C87" s="45"/>
      <c r="D87" s="43"/>
      <c r="E87" s="43"/>
      <c r="F87" s="43"/>
      <c r="G87" s="43"/>
      <c r="H87" s="43"/>
      <c r="I87" s="43"/>
      <c r="J87" s="43"/>
      <c r="K87" s="43"/>
      <c r="L87" s="43"/>
      <c r="M87" s="43"/>
      <c r="N87" s="43"/>
      <c r="O87" s="43"/>
      <c r="P87" s="43"/>
      <c r="Q87" s="43"/>
      <c r="R87" s="43"/>
      <c r="S87" s="43"/>
      <c r="T87" s="43"/>
      <c r="U87" s="43"/>
      <c r="V87" s="43"/>
    </row>
    <row r="88" spans="1:22" x14ac:dyDescent="0.3">
      <c r="A88" s="44"/>
      <c r="B88" s="44"/>
      <c r="C88" s="45"/>
      <c r="D88" s="43"/>
      <c r="E88" s="43"/>
      <c r="F88" s="43"/>
      <c r="G88" s="43"/>
      <c r="H88" s="43"/>
      <c r="I88" s="43"/>
      <c r="J88" s="43"/>
      <c r="K88" s="43"/>
      <c r="L88" s="43"/>
      <c r="M88" s="43"/>
      <c r="N88" s="43"/>
      <c r="O88" s="43"/>
      <c r="P88" s="43"/>
      <c r="Q88" s="43"/>
      <c r="R88" s="43"/>
      <c r="S88" s="43"/>
      <c r="T88" s="43"/>
      <c r="U88" s="43"/>
      <c r="V88" s="43"/>
    </row>
    <row r="89" spans="1:22" x14ac:dyDescent="0.3">
      <c r="A89" s="44"/>
      <c r="B89" s="44"/>
      <c r="C89" s="45"/>
      <c r="D89" s="43"/>
      <c r="E89" s="43"/>
      <c r="F89" s="43"/>
      <c r="G89" s="43"/>
      <c r="H89" s="43"/>
      <c r="I89" s="43"/>
      <c r="J89" s="43"/>
      <c r="K89" s="43"/>
      <c r="L89" s="43"/>
      <c r="M89" s="43"/>
      <c r="N89" s="43"/>
      <c r="O89" s="43"/>
      <c r="P89" s="43"/>
      <c r="Q89" s="43"/>
      <c r="R89" s="43"/>
      <c r="S89" s="43"/>
      <c r="T89" s="43"/>
      <c r="U89" s="43"/>
      <c r="V89" s="43"/>
    </row>
    <row r="90" spans="1:22" x14ac:dyDescent="0.3">
      <c r="A90" s="44"/>
      <c r="B90" s="44"/>
      <c r="C90" s="45"/>
      <c r="D90" s="43"/>
      <c r="E90" s="43"/>
      <c r="F90" s="43"/>
      <c r="G90" s="43"/>
      <c r="H90" s="43"/>
      <c r="I90" s="43"/>
      <c r="J90" s="43"/>
      <c r="K90" s="43"/>
      <c r="L90" s="43"/>
      <c r="M90" s="43"/>
      <c r="N90" s="43"/>
      <c r="O90" s="43"/>
      <c r="P90" s="43"/>
      <c r="Q90" s="43"/>
      <c r="R90" s="43"/>
      <c r="S90" s="43"/>
      <c r="T90" s="43"/>
      <c r="U90" s="43"/>
      <c r="V90" s="43"/>
    </row>
    <row r="91" spans="1:22" x14ac:dyDescent="0.3">
      <c r="A91" s="44"/>
      <c r="B91" s="44"/>
      <c r="C91" s="45"/>
      <c r="D91" s="43"/>
      <c r="E91" s="43"/>
      <c r="F91" s="43"/>
      <c r="G91" s="43"/>
      <c r="H91" s="43"/>
      <c r="I91" s="43"/>
      <c r="J91" s="43"/>
      <c r="K91" s="43"/>
      <c r="L91" s="43"/>
      <c r="M91" s="43"/>
      <c r="N91" s="43"/>
      <c r="O91" s="43"/>
      <c r="P91" s="43"/>
      <c r="Q91" s="43"/>
      <c r="R91" s="43"/>
      <c r="S91" s="43"/>
      <c r="T91" s="43"/>
      <c r="U91" s="43"/>
      <c r="V91" s="43"/>
    </row>
    <row r="92" spans="1:22" x14ac:dyDescent="0.3">
      <c r="A92" s="44"/>
      <c r="B92" s="44"/>
      <c r="C92" s="45"/>
      <c r="D92" s="43"/>
      <c r="E92" s="43"/>
      <c r="F92" s="43"/>
      <c r="G92" s="43"/>
      <c r="H92" s="43"/>
      <c r="I92" s="43"/>
      <c r="J92" s="43"/>
      <c r="K92" s="43"/>
      <c r="L92" s="43"/>
      <c r="M92" s="43"/>
      <c r="N92" s="43"/>
      <c r="O92" s="43"/>
      <c r="P92" s="43"/>
      <c r="Q92" s="43"/>
      <c r="R92" s="43"/>
      <c r="S92" s="43"/>
      <c r="T92" s="43"/>
      <c r="U92" s="43"/>
      <c r="V92" s="43"/>
    </row>
    <row r="93" spans="1:22" x14ac:dyDescent="0.3">
      <c r="A93" s="44"/>
      <c r="B93" s="44"/>
      <c r="C93" s="45"/>
      <c r="D93" s="43"/>
      <c r="E93" s="43"/>
      <c r="F93" s="43"/>
      <c r="G93" s="43"/>
      <c r="H93" s="43"/>
      <c r="I93" s="43"/>
      <c r="J93" s="43"/>
      <c r="K93" s="43"/>
      <c r="L93" s="43"/>
      <c r="M93" s="43"/>
      <c r="N93" s="43"/>
      <c r="O93" s="43"/>
      <c r="P93" s="43"/>
      <c r="Q93" s="43"/>
      <c r="R93" s="43"/>
      <c r="S93" s="43"/>
      <c r="T93" s="43"/>
      <c r="U93" s="43"/>
      <c r="V93" s="43"/>
    </row>
    <row r="94" spans="1:22" x14ac:dyDescent="0.3">
      <c r="A94" s="44"/>
      <c r="B94" s="44"/>
      <c r="C94" s="45"/>
      <c r="D94" s="43"/>
      <c r="E94" s="43"/>
      <c r="F94" s="43"/>
      <c r="G94" s="43"/>
      <c r="H94" s="43"/>
      <c r="I94" s="43"/>
      <c r="J94" s="43"/>
      <c r="K94" s="43"/>
      <c r="L94" s="43"/>
      <c r="M94" s="43"/>
      <c r="N94" s="43"/>
      <c r="O94" s="43"/>
      <c r="P94" s="43"/>
      <c r="Q94" s="43"/>
      <c r="R94" s="43"/>
      <c r="S94" s="43"/>
      <c r="T94" s="43"/>
      <c r="U94" s="43"/>
      <c r="V94" s="43"/>
    </row>
    <row r="95" spans="1:22" x14ac:dyDescent="0.3">
      <c r="A95" s="44"/>
      <c r="B95" s="44"/>
      <c r="C95" s="45"/>
      <c r="D95" s="43"/>
      <c r="E95" s="43"/>
      <c r="F95" s="43"/>
      <c r="G95" s="43"/>
      <c r="H95" s="43"/>
      <c r="I95" s="43"/>
      <c r="J95" s="43"/>
      <c r="K95" s="43"/>
      <c r="L95" s="43"/>
      <c r="M95" s="43"/>
      <c r="N95" s="43"/>
      <c r="O95" s="43"/>
      <c r="P95" s="43"/>
      <c r="Q95" s="43"/>
      <c r="R95" s="43"/>
      <c r="S95" s="43"/>
      <c r="T95" s="43"/>
      <c r="U95" s="43"/>
      <c r="V95" s="43"/>
    </row>
    <row r="96" spans="1:22" x14ac:dyDescent="0.3">
      <c r="A96" s="44"/>
      <c r="B96" s="44"/>
      <c r="C96" s="45"/>
      <c r="D96" s="43"/>
      <c r="E96" s="43"/>
      <c r="F96" s="43"/>
      <c r="G96" s="43"/>
      <c r="H96" s="43"/>
      <c r="I96" s="43"/>
      <c r="J96" s="43"/>
      <c r="K96" s="43"/>
      <c r="L96" s="43"/>
      <c r="M96" s="43"/>
      <c r="N96" s="43"/>
      <c r="O96" s="43"/>
      <c r="P96" s="43"/>
      <c r="Q96" s="43"/>
      <c r="R96" s="43"/>
      <c r="S96" s="43"/>
      <c r="T96" s="43"/>
      <c r="U96" s="43"/>
      <c r="V96" s="43"/>
    </row>
    <row r="97" spans="1:22" x14ac:dyDescent="0.3">
      <c r="A97" s="44"/>
      <c r="B97" s="44"/>
      <c r="C97" s="45"/>
      <c r="D97" s="43"/>
      <c r="E97" s="43"/>
      <c r="F97" s="43"/>
      <c r="G97" s="43"/>
      <c r="H97" s="43"/>
      <c r="I97" s="43"/>
      <c r="J97" s="43"/>
      <c r="K97" s="43"/>
      <c r="L97" s="43"/>
      <c r="M97" s="43"/>
      <c r="N97" s="43"/>
      <c r="O97" s="43"/>
      <c r="P97" s="43"/>
      <c r="Q97" s="43"/>
      <c r="R97" s="43"/>
      <c r="S97" s="43"/>
      <c r="T97" s="43"/>
      <c r="U97" s="43"/>
      <c r="V97" s="43"/>
    </row>
    <row r="98" spans="1:22" x14ac:dyDescent="0.3">
      <c r="A98" s="44"/>
      <c r="B98" s="44"/>
      <c r="C98" s="45"/>
      <c r="D98" s="43"/>
      <c r="E98" s="43"/>
      <c r="F98" s="43"/>
      <c r="G98" s="43"/>
      <c r="H98" s="43"/>
      <c r="I98" s="43"/>
      <c r="J98" s="43"/>
      <c r="K98" s="43"/>
      <c r="L98" s="43"/>
      <c r="M98" s="43"/>
      <c r="N98" s="43"/>
      <c r="O98" s="43"/>
      <c r="P98" s="43"/>
      <c r="Q98" s="43"/>
      <c r="R98" s="43"/>
      <c r="S98" s="43"/>
      <c r="T98" s="43"/>
      <c r="U98" s="43"/>
      <c r="V98" s="43"/>
    </row>
    <row r="99" spans="1:22" x14ac:dyDescent="0.3">
      <c r="A99" s="44"/>
      <c r="B99" s="44"/>
      <c r="C99" s="45"/>
      <c r="D99" s="43"/>
      <c r="E99" s="43"/>
      <c r="F99" s="43"/>
      <c r="G99" s="43"/>
      <c r="H99" s="43"/>
      <c r="I99" s="43"/>
      <c r="J99" s="43"/>
      <c r="K99" s="43"/>
      <c r="L99" s="43"/>
      <c r="M99" s="43"/>
      <c r="N99" s="43"/>
      <c r="O99" s="43"/>
      <c r="P99" s="43"/>
      <c r="Q99" s="43"/>
      <c r="R99" s="43"/>
      <c r="S99" s="43"/>
      <c r="T99" s="43"/>
      <c r="U99" s="43"/>
      <c r="V99" s="43"/>
    </row>
    <row r="100" spans="1:22" x14ac:dyDescent="0.3">
      <c r="A100" s="44"/>
      <c r="B100" s="44"/>
      <c r="C100" s="45"/>
      <c r="D100" s="43"/>
      <c r="E100" s="43"/>
      <c r="F100" s="43"/>
      <c r="G100" s="43"/>
      <c r="H100" s="43"/>
      <c r="I100" s="43"/>
      <c r="J100" s="43"/>
      <c r="K100" s="43"/>
      <c r="L100" s="43"/>
      <c r="M100" s="43"/>
      <c r="N100" s="43"/>
      <c r="O100" s="43"/>
      <c r="P100" s="43"/>
      <c r="Q100" s="43"/>
      <c r="R100" s="43"/>
      <c r="S100" s="43"/>
      <c r="T100" s="43"/>
      <c r="U100" s="43"/>
      <c r="V100" s="43"/>
    </row>
    <row r="101" spans="1:22" x14ac:dyDescent="0.3">
      <c r="A101" s="44"/>
      <c r="B101" s="44"/>
      <c r="C101" s="45"/>
      <c r="D101" s="43"/>
      <c r="E101" s="43"/>
      <c r="F101" s="43"/>
      <c r="G101" s="43"/>
      <c r="H101" s="43"/>
      <c r="I101" s="43"/>
      <c r="J101" s="43"/>
      <c r="K101" s="43"/>
      <c r="L101" s="43"/>
      <c r="M101" s="43"/>
      <c r="N101" s="43"/>
      <c r="O101" s="43"/>
      <c r="P101" s="43"/>
      <c r="Q101" s="43"/>
      <c r="R101" s="43"/>
      <c r="S101" s="43"/>
      <c r="T101" s="43"/>
      <c r="U101" s="43"/>
      <c r="V101" s="43"/>
    </row>
    <row r="102" spans="1:22" x14ac:dyDescent="0.3">
      <c r="A102" s="44"/>
      <c r="B102" s="44"/>
      <c r="C102" s="45"/>
      <c r="D102" s="43"/>
      <c r="E102" s="43"/>
      <c r="F102" s="43"/>
      <c r="G102" s="43"/>
      <c r="H102" s="43"/>
      <c r="I102" s="43"/>
      <c r="J102" s="43"/>
      <c r="K102" s="43"/>
      <c r="L102" s="43"/>
      <c r="M102" s="43"/>
      <c r="N102" s="43"/>
      <c r="O102" s="43"/>
      <c r="P102" s="43"/>
      <c r="Q102" s="43"/>
      <c r="R102" s="43"/>
      <c r="S102" s="43"/>
      <c r="T102" s="43"/>
      <c r="U102" s="43"/>
      <c r="V102" s="43"/>
    </row>
    <row r="103" spans="1:22" x14ac:dyDescent="0.3">
      <c r="A103" s="44"/>
      <c r="B103" s="44"/>
      <c r="C103" s="45"/>
      <c r="D103" s="43"/>
      <c r="E103" s="43"/>
      <c r="F103" s="43"/>
      <c r="G103" s="43"/>
      <c r="H103" s="43"/>
      <c r="I103" s="43"/>
      <c r="J103" s="43"/>
      <c r="K103" s="43"/>
      <c r="L103" s="43"/>
      <c r="M103" s="43"/>
      <c r="N103" s="43"/>
      <c r="O103" s="43"/>
      <c r="P103" s="43"/>
      <c r="Q103" s="43"/>
      <c r="R103" s="43"/>
      <c r="S103" s="43"/>
      <c r="T103" s="43"/>
      <c r="U103" s="43"/>
      <c r="V103" s="43"/>
    </row>
    <row r="104" spans="1:22" x14ac:dyDescent="0.3">
      <c r="A104" s="44"/>
      <c r="B104" s="44"/>
      <c r="C104" s="45"/>
      <c r="D104" s="43"/>
      <c r="E104" s="43"/>
      <c r="F104" s="43"/>
      <c r="G104" s="43"/>
      <c r="H104" s="43"/>
      <c r="I104" s="43"/>
      <c r="J104" s="43"/>
      <c r="K104" s="43"/>
      <c r="L104" s="43"/>
      <c r="M104" s="43"/>
      <c r="N104" s="43"/>
      <c r="O104" s="43"/>
      <c r="P104" s="43"/>
      <c r="Q104" s="43"/>
      <c r="R104" s="43"/>
      <c r="S104" s="43"/>
      <c r="T104" s="43"/>
      <c r="U104" s="43"/>
      <c r="V104" s="43"/>
    </row>
    <row r="105" spans="1:22" x14ac:dyDescent="0.3">
      <c r="A105" s="44"/>
      <c r="B105" s="44"/>
      <c r="C105" s="45"/>
      <c r="D105" s="43"/>
      <c r="E105" s="43"/>
      <c r="F105" s="43"/>
      <c r="G105" s="43"/>
      <c r="H105" s="43"/>
      <c r="I105" s="43"/>
      <c r="J105" s="43"/>
      <c r="K105" s="43"/>
      <c r="L105" s="43"/>
      <c r="M105" s="43"/>
      <c r="N105" s="43"/>
      <c r="O105" s="43"/>
      <c r="P105" s="43"/>
      <c r="Q105" s="43"/>
      <c r="R105" s="43"/>
      <c r="S105" s="43"/>
      <c r="T105" s="43"/>
      <c r="U105" s="43"/>
      <c r="V105" s="43"/>
    </row>
    <row r="106" spans="1:22" x14ac:dyDescent="0.3">
      <c r="A106" s="44"/>
      <c r="B106" s="44"/>
      <c r="C106" s="45"/>
      <c r="D106" s="43"/>
      <c r="E106" s="43"/>
      <c r="F106" s="43"/>
      <c r="G106" s="43"/>
      <c r="H106" s="43"/>
      <c r="I106" s="43"/>
      <c r="J106" s="43"/>
      <c r="K106" s="43"/>
      <c r="L106" s="43"/>
      <c r="M106" s="43"/>
      <c r="N106" s="43"/>
      <c r="O106" s="43"/>
      <c r="P106" s="43"/>
      <c r="Q106" s="43"/>
      <c r="R106" s="43"/>
      <c r="S106" s="43"/>
      <c r="T106" s="43"/>
      <c r="U106" s="43"/>
      <c r="V106" s="43"/>
    </row>
    <row r="107" spans="1:22" x14ac:dyDescent="0.3">
      <c r="A107" s="44"/>
      <c r="B107" s="44"/>
      <c r="C107" s="45"/>
      <c r="D107" s="43"/>
      <c r="E107" s="43"/>
      <c r="F107" s="43"/>
      <c r="G107" s="43"/>
      <c r="H107" s="43"/>
      <c r="I107" s="43"/>
      <c r="J107" s="43"/>
      <c r="K107" s="43"/>
      <c r="L107" s="43"/>
      <c r="M107" s="43"/>
      <c r="N107" s="43"/>
      <c r="O107" s="43"/>
      <c r="P107" s="43"/>
      <c r="Q107" s="43"/>
      <c r="R107" s="43"/>
      <c r="S107" s="43"/>
      <c r="T107" s="43"/>
      <c r="U107" s="43"/>
      <c r="V107" s="43"/>
    </row>
    <row r="108" spans="1:22" x14ac:dyDescent="0.3">
      <c r="A108" s="44"/>
      <c r="B108" s="44"/>
      <c r="C108" s="45"/>
      <c r="D108" s="43"/>
      <c r="E108" s="43"/>
      <c r="F108" s="43"/>
      <c r="G108" s="43"/>
      <c r="H108" s="43"/>
      <c r="I108" s="43"/>
      <c r="J108" s="43"/>
      <c r="K108" s="43"/>
      <c r="L108" s="43"/>
      <c r="M108" s="43"/>
      <c r="N108" s="43"/>
      <c r="O108" s="43"/>
      <c r="P108" s="43"/>
      <c r="Q108" s="43"/>
      <c r="R108" s="43"/>
      <c r="S108" s="43"/>
      <c r="T108" s="43"/>
      <c r="U108" s="43"/>
      <c r="V108" s="43"/>
    </row>
    <row r="109" spans="1:22" x14ac:dyDescent="0.3">
      <c r="A109" s="44"/>
      <c r="B109" s="44"/>
      <c r="C109" s="45"/>
      <c r="D109" s="43"/>
      <c r="E109" s="43"/>
      <c r="F109" s="43"/>
      <c r="G109" s="43"/>
      <c r="H109" s="43"/>
      <c r="I109" s="43"/>
      <c r="J109" s="43"/>
      <c r="K109" s="43"/>
      <c r="L109" s="43"/>
      <c r="M109" s="43"/>
      <c r="N109" s="43"/>
      <c r="O109" s="43"/>
      <c r="P109" s="43"/>
      <c r="Q109" s="43"/>
      <c r="R109" s="43"/>
      <c r="S109" s="43"/>
      <c r="T109" s="43"/>
      <c r="U109" s="43"/>
      <c r="V109" s="43"/>
    </row>
    <row r="110" spans="1:22" x14ac:dyDescent="0.3">
      <c r="A110" s="44"/>
      <c r="B110" s="44"/>
      <c r="C110" s="45"/>
      <c r="D110" s="43"/>
      <c r="E110" s="43"/>
      <c r="F110" s="43"/>
      <c r="G110" s="43"/>
      <c r="H110" s="43"/>
      <c r="I110" s="43"/>
      <c r="J110" s="43"/>
      <c r="K110" s="43"/>
      <c r="L110" s="43"/>
      <c r="M110" s="43"/>
      <c r="N110" s="43"/>
      <c r="O110" s="43"/>
      <c r="P110" s="43"/>
      <c r="Q110" s="43"/>
      <c r="R110" s="43"/>
      <c r="S110" s="43"/>
      <c r="T110" s="43"/>
      <c r="U110" s="43"/>
      <c r="V110" s="43"/>
    </row>
    <row r="111" spans="1:22" x14ac:dyDescent="0.3">
      <c r="A111" s="44"/>
      <c r="B111" s="44"/>
      <c r="C111" s="45"/>
      <c r="D111" s="43"/>
      <c r="E111" s="43"/>
      <c r="F111" s="43"/>
      <c r="G111" s="43"/>
      <c r="H111" s="43"/>
      <c r="I111" s="43"/>
      <c r="J111" s="43"/>
      <c r="K111" s="43"/>
      <c r="L111" s="43"/>
      <c r="M111" s="43"/>
      <c r="N111" s="43"/>
      <c r="O111" s="43"/>
      <c r="P111" s="43"/>
      <c r="Q111" s="43"/>
      <c r="R111" s="43"/>
      <c r="S111" s="43"/>
      <c r="T111" s="43"/>
      <c r="U111" s="43"/>
      <c r="V111" s="43"/>
    </row>
    <row r="112" spans="1:22" x14ac:dyDescent="0.3">
      <c r="A112" s="44"/>
      <c r="B112" s="44"/>
      <c r="C112" s="45"/>
      <c r="D112" s="43"/>
      <c r="E112" s="43"/>
      <c r="F112" s="43"/>
      <c r="G112" s="43"/>
      <c r="H112" s="43"/>
      <c r="I112" s="43"/>
      <c r="J112" s="43"/>
      <c r="K112" s="43"/>
      <c r="L112" s="43"/>
      <c r="M112" s="43"/>
      <c r="N112" s="43"/>
      <c r="O112" s="43"/>
      <c r="P112" s="43"/>
      <c r="Q112" s="43"/>
      <c r="R112" s="43"/>
      <c r="S112" s="43"/>
      <c r="T112" s="43"/>
      <c r="U112" s="43"/>
      <c r="V112" s="43"/>
    </row>
    <row r="113" spans="1:22" x14ac:dyDescent="0.3">
      <c r="A113" s="44"/>
      <c r="B113" s="44"/>
      <c r="C113" s="45"/>
      <c r="D113" s="43"/>
      <c r="E113" s="43"/>
      <c r="F113" s="43"/>
      <c r="G113" s="43"/>
      <c r="H113" s="43"/>
      <c r="I113" s="43"/>
      <c r="J113" s="43"/>
      <c r="K113" s="43"/>
      <c r="L113" s="43"/>
      <c r="M113" s="43"/>
      <c r="N113" s="43"/>
      <c r="O113" s="43"/>
      <c r="P113" s="43"/>
      <c r="Q113" s="43"/>
      <c r="R113" s="43"/>
      <c r="S113" s="43"/>
      <c r="T113" s="43"/>
      <c r="U113" s="43"/>
      <c r="V113" s="43"/>
    </row>
    <row r="114" spans="1:22" x14ac:dyDescent="0.3">
      <c r="A114" s="44"/>
      <c r="B114" s="44"/>
      <c r="C114" s="45"/>
      <c r="D114" s="43"/>
      <c r="E114" s="43"/>
      <c r="F114" s="43"/>
      <c r="G114" s="43"/>
      <c r="H114" s="43"/>
      <c r="I114" s="43"/>
      <c r="J114" s="43"/>
      <c r="K114" s="43"/>
      <c r="L114" s="43"/>
      <c r="M114" s="43"/>
      <c r="N114" s="43"/>
      <c r="O114" s="43"/>
      <c r="P114" s="43"/>
      <c r="Q114" s="43"/>
      <c r="R114" s="43"/>
      <c r="S114" s="43"/>
      <c r="T114" s="43"/>
      <c r="U114" s="43"/>
      <c r="V114" s="43"/>
    </row>
    <row r="115" spans="1:22" x14ac:dyDescent="0.3">
      <c r="A115" s="44"/>
      <c r="B115" s="44"/>
      <c r="C115" s="45"/>
      <c r="D115" s="43"/>
      <c r="E115" s="43"/>
      <c r="F115" s="43"/>
      <c r="G115" s="43"/>
      <c r="H115" s="43"/>
      <c r="I115" s="43"/>
      <c r="J115" s="43"/>
      <c r="K115" s="43"/>
      <c r="L115" s="43"/>
      <c r="M115" s="43"/>
      <c r="N115" s="43"/>
      <c r="O115" s="43"/>
      <c r="P115" s="43"/>
      <c r="Q115" s="43"/>
      <c r="R115" s="43"/>
      <c r="S115" s="43"/>
      <c r="T115" s="43"/>
      <c r="U115" s="43"/>
      <c r="V115" s="43"/>
    </row>
    <row r="116" spans="1:22" x14ac:dyDescent="0.3">
      <c r="A116" s="44"/>
      <c r="B116" s="44"/>
      <c r="C116" s="45"/>
      <c r="D116" s="43"/>
      <c r="E116" s="43"/>
      <c r="F116" s="43"/>
      <c r="G116" s="43"/>
      <c r="H116" s="43"/>
      <c r="I116" s="43"/>
      <c r="J116" s="43"/>
      <c r="K116" s="43"/>
      <c r="L116" s="43"/>
      <c r="M116" s="43"/>
      <c r="N116" s="43"/>
      <c r="O116" s="43"/>
      <c r="P116" s="43"/>
      <c r="Q116" s="43"/>
      <c r="R116" s="43"/>
      <c r="S116" s="43"/>
      <c r="T116" s="43"/>
      <c r="U116" s="43"/>
      <c r="V116" s="43"/>
    </row>
    <row r="117" spans="1:22" x14ac:dyDescent="0.3">
      <c r="A117" s="44"/>
      <c r="B117" s="44"/>
      <c r="C117" s="45"/>
      <c r="D117" s="43"/>
      <c r="E117" s="43"/>
      <c r="F117" s="43"/>
      <c r="G117" s="43"/>
      <c r="H117" s="43"/>
      <c r="I117" s="43"/>
      <c r="J117" s="43"/>
      <c r="K117" s="43"/>
      <c r="L117" s="43"/>
      <c r="M117" s="43"/>
      <c r="N117" s="43"/>
      <c r="O117" s="43"/>
      <c r="P117" s="43"/>
      <c r="Q117" s="43"/>
      <c r="R117" s="43"/>
      <c r="S117" s="43"/>
      <c r="T117" s="43"/>
      <c r="U117" s="43"/>
      <c r="V117" s="43"/>
    </row>
    <row r="118" spans="1:22" x14ac:dyDescent="0.3">
      <c r="A118" s="44"/>
      <c r="B118" s="44"/>
      <c r="C118" s="45"/>
      <c r="D118" s="43"/>
      <c r="E118" s="43"/>
      <c r="F118" s="43"/>
      <c r="G118" s="43"/>
      <c r="H118" s="43"/>
      <c r="I118" s="43"/>
      <c r="J118" s="43"/>
      <c r="K118" s="43"/>
      <c r="L118" s="43"/>
      <c r="M118" s="43"/>
      <c r="N118" s="43"/>
      <c r="O118" s="43"/>
      <c r="P118" s="43"/>
      <c r="Q118" s="43"/>
      <c r="R118" s="43"/>
      <c r="S118" s="43"/>
      <c r="T118" s="43"/>
      <c r="U118" s="43"/>
      <c r="V118" s="43"/>
    </row>
    <row r="119" spans="1:22" x14ac:dyDescent="0.3">
      <c r="A119" s="44"/>
      <c r="B119" s="44"/>
      <c r="C119" s="45"/>
      <c r="D119" s="43"/>
      <c r="E119" s="43"/>
      <c r="F119" s="43"/>
      <c r="G119" s="43"/>
      <c r="H119" s="43"/>
      <c r="I119" s="43"/>
      <c r="J119" s="43"/>
      <c r="K119" s="43"/>
      <c r="L119" s="43"/>
      <c r="M119" s="43"/>
      <c r="N119" s="43"/>
      <c r="O119" s="43"/>
      <c r="P119" s="43"/>
      <c r="Q119" s="43"/>
      <c r="R119" s="43"/>
      <c r="S119" s="43"/>
      <c r="T119" s="43"/>
      <c r="U119" s="43"/>
      <c r="V119" s="43"/>
    </row>
    <row r="120" spans="1:22" x14ac:dyDescent="0.3">
      <c r="A120" s="44"/>
      <c r="B120" s="44"/>
      <c r="C120" s="45"/>
      <c r="D120" s="43"/>
      <c r="E120" s="43"/>
      <c r="F120" s="43"/>
      <c r="G120" s="43"/>
      <c r="H120" s="43"/>
      <c r="I120" s="43"/>
      <c r="J120" s="43"/>
      <c r="K120" s="43"/>
      <c r="L120" s="43"/>
      <c r="M120" s="43"/>
      <c r="N120" s="43"/>
      <c r="O120" s="43"/>
      <c r="P120" s="43"/>
      <c r="Q120" s="43"/>
      <c r="R120" s="43"/>
      <c r="S120" s="43"/>
      <c r="T120" s="43"/>
      <c r="U120" s="43"/>
      <c r="V120" s="43"/>
    </row>
    <row r="121" spans="1:22" x14ac:dyDescent="0.3">
      <c r="A121" s="44"/>
      <c r="B121" s="44"/>
      <c r="C121" s="45"/>
      <c r="D121" s="43"/>
      <c r="E121" s="43"/>
      <c r="F121" s="43"/>
      <c r="G121" s="43"/>
      <c r="H121" s="43"/>
      <c r="I121" s="43"/>
      <c r="J121" s="43"/>
      <c r="K121" s="43"/>
      <c r="L121" s="43"/>
      <c r="M121" s="43"/>
      <c r="N121" s="43"/>
      <c r="O121" s="43"/>
      <c r="P121" s="43"/>
      <c r="Q121" s="43"/>
      <c r="R121" s="43"/>
      <c r="S121" s="43"/>
      <c r="T121" s="43"/>
      <c r="U121" s="43"/>
      <c r="V121" s="43"/>
    </row>
    <row r="122" spans="1:22" x14ac:dyDescent="0.3">
      <c r="A122" s="44"/>
      <c r="B122" s="44"/>
      <c r="C122" s="45"/>
      <c r="D122" s="43"/>
      <c r="E122" s="43"/>
      <c r="F122" s="43"/>
      <c r="G122" s="43"/>
      <c r="H122" s="43"/>
      <c r="I122" s="43"/>
      <c r="J122" s="43"/>
      <c r="K122" s="43"/>
      <c r="L122" s="43"/>
      <c r="M122" s="43"/>
      <c r="N122" s="43"/>
      <c r="O122" s="43"/>
      <c r="P122" s="43"/>
      <c r="Q122" s="43"/>
      <c r="R122" s="43"/>
      <c r="S122" s="43"/>
      <c r="T122" s="43"/>
      <c r="U122" s="43"/>
      <c r="V122" s="43"/>
    </row>
    <row r="123" spans="1:22" x14ac:dyDescent="0.3">
      <c r="A123" s="44"/>
      <c r="B123" s="44"/>
      <c r="C123" s="45"/>
      <c r="D123" s="43"/>
      <c r="E123" s="43"/>
      <c r="F123" s="43"/>
      <c r="G123" s="43"/>
      <c r="H123" s="43"/>
      <c r="I123" s="43"/>
      <c r="J123" s="43"/>
      <c r="K123" s="43"/>
      <c r="L123" s="43"/>
      <c r="M123" s="43"/>
      <c r="N123" s="43"/>
      <c r="O123" s="43"/>
      <c r="P123" s="43"/>
      <c r="Q123" s="43"/>
      <c r="R123" s="43"/>
      <c r="S123" s="43"/>
      <c r="T123" s="43"/>
      <c r="U123" s="43"/>
      <c r="V123" s="43"/>
    </row>
    <row r="124" spans="1:22" x14ac:dyDescent="0.3">
      <c r="A124" s="44"/>
      <c r="B124" s="44"/>
      <c r="C124" s="45"/>
      <c r="D124" s="43"/>
      <c r="E124" s="43"/>
      <c r="F124" s="43"/>
      <c r="G124" s="43"/>
      <c r="H124" s="43"/>
      <c r="I124" s="43"/>
      <c r="J124" s="43"/>
      <c r="K124" s="43"/>
      <c r="L124" s="43"/>
      <c r="M124" s="43"/>
      <c r="N124" s="43"/>
      <c r="O124" s="43"/>
      <c r="P124" s="43"/>
      <c r="Q124" s="43"/>
      <c r="R124" s="43"/>
      <c r="S124" s="43"/>
      <c r="T124" s="43"/>
      <c r="U124" s="43"/>
      <c r="V124" s="43"/>
    </row>
    <row r="125" spans="1:22" x14ac:dyDescent="0.3">
      <c r="A125" s="44"/>
      <c r="B125" s="44"/>
      <c r="C125" s="45"/>
      <c r="D125" s="43"/>
      <c r="E125" s="43"/>
      <c r="F125" s="43"/>
      <c r="G125" s="43"/>
      <c r="H125" s="43"/>
      <c r="I125" s="43"/>
      <c r="J125" s="43"/>
      <c r="K125" s="43"/>
      <c r="L125" s="43"/>
      <c r="M125" s="43"/>
      <c r="N125" s="43"/>
      <c r="O125" s="43"/>
      <c r="P125" s="43"/>
      <c r="Q125" s="43"/>
      <c r="R125" s="43"/>
      <c r="S125" s="43"/>
      <c r="T125" s="43"/>
      <c r="U125" s="43"/>
      <c r="V125" s="43"/>
    </row>
    <row r="126" spans="1:22" x14ac:dyDescent="0.3">
      <c r="A126" s="44"/>
      <c r="B126" s="44"/>
      <c r="C126" s="45"/>
      <c r="D126" s="43"/>
      <c r="E126" s="43"/>
      <c r="F126" s="43"/>
      <c r="G126" s="43"/>
      <c r="H126" s="43"/>
      <c r="I126" s="43"/>
      <c r="J126" s="43"/>
      <c r="K126" s="43"/>
      <c r="L126" s="43"/>
      <c r="M126" s="43"/>
      <c r="N126" s="43"/>
      <c r="O126" s="43"/>
      <c r="P126" s="43"/>
      <c r="Q126" s="43"/>
      <c r="R126" s="43"/>
      <c r="S126" s="43"/>
      <c r="T126" s="43"/>
      <c r="U126" s="43"/>
      <c r="V126" s="43"/>
    </row>
    <row r="127" spans="1:22" x14ac:dyDescent="0.3">
      <c r="A127" s="44"/>
      <c r="B127" s="44"/>
      <c r="C127" s="45"/>
      <c r="D127" s="43"/>
      <c r="E127" s="43"/>
      <c r="F127" s="43"/>
      <c r="G127" s="43"/>
      <c r="H127" s="43"/>
      <c r="I127" s="43"/>
      <c r="J127" s="43"/>
      <c r="K127" s="43"/>
      <c r="L127" s="43"/>
      <c r="M127" s="43"/>
      <c r="N127" s="43"/>
      <c r="O127" s="43"/>
      <c r="P127" s="43"/>
      <c r="Q127" s="43"/>
      <c r="R127" s="43"/>
      <c r="S127" s="43"/>
      <c r="T127" s="43"/>
      <c r="U127" s="43"/>
      <c r="V127" s="43"/>
    </row>
    <row r="128" spans="1:22" x14ac:dyDescent="0.3">
      <c r="A128" s="44"/>
      <c r="B128" s="44"/>
      <c r="C128" s="45"/>
      <c r="D128" s="43"/>
      <c r="E128" s="43"/>
      <c r="F128" s="43"/>
      <c r="G128" s="43"/>
      <c r="H128" s="43"/>
      <c r="I128" s="43"/>
      <c r="J128" s="43"/>
      <c r="K128" s="43"/>
      <c r="L128" s="43"/>
      <c r="M128" s="43"/>
      <c r="N128" s="43"/>
      <c r="O128" s="43"/>
      <c r="P128" s="43"/>
      <c r="Q128" s="43"/>
      <c r="R128" s="43"/>
      <c r="S128" s="43"/>
      <c r="T128" s="43"/>
      <c r="U128" s="43"/>
      <c r="V128" s="43"/>
    </row>
    <row r="129" spans="1:22" x14ac:dyDescent="0.3">
      <c r="A129" s="44"/>
      <c r="B129" s="44"/>
      <c r="C129" s="45"/>
      <c r="D129" s="43"/>
      <c r="E129" s="43"/>
      <c r="F129" s="43"/>
      <c r="G129" s="43"/>
      <c r="H129" s="43"/>
      <c r="I129" s="43"/>
      <c r="J129" s="43"/>
      <c r="K129" s="43"/>
      <c r="L129" s="43"/>
      <c r="M129" s="43"/>
      <c r="N129" s="43"/>
      <c r="O129" s="43"/>
      <c r="P129" s="43"/>
      <c r="Q129" s="43"/>
      <c r="R129" s="43"/>
      <c r="S129" s="43"/>
      <c r="T129" s="43"/>
      <c r="U129" s="43"/>
      <c r="V129" s="43"/>
    </row>
    <row r="130" spans="1:22" x14ac:dyDescent="0.3">
      <c r="A130" s="44"/>
      <c r="B130" s="44"/>
      <c r="C130" s="45"/>
      <c r="D130" s="43"/>
      <c r="E130" s="43"/>
      <c r="F130" s="43"/>
      <c r="G130" s="43"/>
      <c r="H130" s="43"/>
      <c r="I130" s="43"/>
      <c r="J130" s="43"/>
      <c r="K130" s="43"/>
      <c r="L130" s="43"/>
      <c r="M130" s="43"/>
      <c r="N130" s="43"/>
      <c r="O130" s="43"/>
      <c r="P130" s="43"/>
      <c r="Q130" s="43"/>
      <c r="R130" s="43"/>
      <c r="S130" s="43"/>
      <c r="T130" s="43"/>
      <c r="U130" s="43"/>
      <c r="V130" s="43"/>
    </row>
    <row r="131" spans="1:22" x14ac:dyDescent="0.3">
      <c r="A131" s="44"/>
      <c r="B131" s="44"/>
      <c r="C131" s="45"/>
      <c r="D131" s="43"/>
      <c r="E131" s="43"/>
      <c r="F131" s="43"/>
      <c r="G131" s="43"/>
      <c r="H131" s="43"/>
      <c r="I131" s="43"/>
      <c r="J131" s="43"/>
      <c r="K131" s="43"/>
      <c r="L131" s="43"/>
      <c r="M131" s="43"/>
      <c r="N131" s="43"/>
      <c r="O131" s="43"/>
      <c r="P131" s="43"/>
      <c r="Q131" s="43"/>
      <c r="R131" s="43"/>
      <c r="S131" s="43"/>
      <c r="T131" s="43"/>
      <c r="U131" s="43"/>
      <c r="V131" s="43"/>
    </row>
    <row r="132" spans="1:22" x14ac:dyDescent="0.3">
      <c r="A132" s="44"/>
      <c r="B132" s="44"/>
      <c r="C132" s="45"/>
      <c r="D132" s="43"/>
      <c r="E132" s="43"/>
      <c r="F132" s="43"/>
      <c r="G132" s="43"/>
      <c r="H132" s="43"/>
      <c r="I132" s="43"/>
      <c r="J132" s="43"/>
      <c r="K132" s="43"/>
      <c r="L132" s="43"/>
      <c r="M132" s="43"/>
      <c r="N132" s="43"/>
      <c r="O132" s="43"/>
      <c r="P132" s="43"/>
      <c r="Q132" s="43"/>
      <c r="R132" s="43"/>
      <c r="S132" s="43"/>
      <c r="T132" s="43"/>
      <c r="U132" s="43"/>
      <c r="V132" s="43"/>
    </row>
    <row r="133" spans="1:22" x14ac:dyDescent="0.3">
      <c r="A133" s="44"/>
      <c r="B133" s="44"/>
      <c r="C133" s="45"/>
      <c r="D133" s="43"/>
      <c r="E133" s="43"/>
      <c r="F133" s="43"/>
      <c r="G133" s="43"/>
      <c r="H133" s="43"/>
      <c r="I133" s="43"/>
      <c r="J133" s="43"/>
      <c r="K133" s="43"/>
      <c r="L133" s="43"/>
      <c r="M133" s="43"/>
      <c r="N133" s="43"/>
      <c r="O133" s="43"/>
      <c r="P133" s="43"/>
      <c r="Q133" s="43"/>
      <c r="R133" s="43"/>
      <c r="S133" s="43"/>
      <c r="T133" s="43"/>
      <c r="U133" s="43"/>
      <c r="V133" s="43"/>
    </row>
    <row r="134" spans="1:22" x14ac:dyDescent="0.3">
      <c r="A134" s="44"/>
      <c r="B134" s="44"/>
      <c r="C134" s="45"/>
      <c r="D134" s="43"/>
      <c r="E134" s="43"/>
      <c r="F134" s="43"/>
      <c r="G134" s="43"/>
      <c r="H134" s="43"/>
      <c r="I134" s="43"/>
      <c r="J134" s="43"/>
      <c r="K134" s="43"/>
      <c r="L134" s="43"/>
      <c r="M134" s="43"/>
      <c r="N134" s="43"/>
      <c r="O134" s="43"/>
      <c r="P134" s="43"/>
      <c r="Q134" s="43"/>
      <c r="R134" s="43"/>
      <c r="S134" s="43"/>
      <c r="T134" s="43"/>
      <c r="U134" s="43"/>
      <c r="V134" s="43"/>
    </row>
    <row r="135" spans="1:22" x14ac:dyDescent="0.3">
      <c r="A135" s="44"/>
      <c r="B135" s="44"/>
      <c r="C135" s="45"/>
      <c r="D135" s="43"/>
      <c r="E135" s="43"/>
      <c r="F135" s="43"/>
      <c r="G135" s="43"/>
      <c r="H135" s="43"/>
      <c r="I135" s="43"/>
      <c r="J135" s="43"/>
      <c r="K135" s="43"/>
      <c r="L135" s="43"/>
      <c r="M135" s="43"/>
      <c r="N135" s="43"/>
      <c r="O135" s="43"/>
      <c r="P135" s="43"/>
      <c r="Q135" s="43"/>
      <c r="R135" s="43"/>
      <c r="S135" s="43"/>
      <c r="T135" s="43"/>
      <c r="U135" s="43"/>
      <c r="V135" s="43"/>
    </row>
    <row r="136" spans="1:22" x14ac:dyDescent="0.3">
      <c r="A136" s="44"/>
      <c r="B136" s="44"/>
      <c r="C136" s="45"/>
      <c r="D136" s="43"/>
      <c r="E136" s="43"/>
      <c r="F136" s="43"/>
      <c r="G136" s="43"/>
      <c r="H136" s="43"/>
      <c r="I136" s="43"/>
      <c r="J136" s="43"/>
      <c r="K136" s="43"/>
      <c r="L136" s="43"/>
      <c r="M136" s="43"/>
      <c r="N136" s="43"/>
      <c r="O136" s="43"/>
      <c r="P136" s="43"/>
      <c r="Q136" s="43"/>
      <c r="R136" s="43"/>
      <c r="S136" s="43"/>
      <c r="T136" s="43"/>
      <c r="U136" s="43"/>
      <c r="V136" s="43"/>
    </row>
    <row r="137" spans="1:22" x14ac:dyDescent="0.3">
      <c r="A137" s="44"/>
      <c r="B137" s="44"/>
      <c r="C137" s="45"/>
      <c r="D137" s="43"/>
      <c r="E137" s="43"/>
      <c r="F137" s="43"/>
      <c r="G137" s="43"/>
      <c r="H137" s="43"/>
      <c r="I137" s="43"/>
      <c r="J137" s="43"/>
      <c r="K137" s="43"/>
      <c r="L137" s="43"/>
      <c r="M137" s="43"/>
      <c r="N137" s="43"/>
      <c r="O137" s="43"/>
      <c r="P137" s="43"/>
      <c r="Q137" s="43"/>
      <c r="R137" s="43"/>
      <c r="S137" s="43"/>
      <c r="T137" s="43"/>
      <c r="U137" s="43"/>
      <c r="V137" s="43"/>
    </row>
    <row r="138" spans="1:22" x14ac:dyDescent="0.3">
      <c r="A138" s="44"/>
      <c r="B138" s="44"/>
      <c r="C138" s="45"/>
      <c r="D138" s="43"/>
      <c r="E138" s="43"/>
      <c r="F138" s="43"/>
      <c r="G138" s="43"/>
      <c r="H138" s="43"/>
      <c r="I138" s="43"/>
      <c r="J138" s="43"/>
      <c r="K138" s="43"/>
      <c r="L138" s="43"/>
      <c r="M138" s="43"/>
      <c r="N138" s="43"/>
      <c r="O138" s="43"/>
      <c r="P138" s="43"/>
      <c r="Q138" s="43"/>
      <c r="R138" s="43"/>
      <c r="S138" s="43"/>
      <c r="T138" s="43"/>
      <c r="U138" s="43"/>
      <c r="V138" s="43"/>
    </row>
    <row r="139" spans="1:22" x14ac:dyDescent="0.3">
      <c r="A139" s="44"/>
      <c r="B139" s="44"/>
      <c r="C139" s="45"/>
      <c r="D139" s="43"/>
      <c r="E139" s="43"/>
      <c r="F139" s="43"/>
      <c r="G139" s="43"/>
      <c r="H139" s="43"/>
      <c r="I139" s="43"/>
      <c r="J139" s="43"/>
      <c r="K139" s="43"/>
      <c r="L139" s="43"/>
      <c r="M139" s="43"/>
      <c r="N139" s="43"/>
      <c r="O139" s="43"/>
      <c r="P139" s="43"/>
      <c r="Q139" s="43"/>
      <c r="R139" s="43"/>
      <c r="S139" s="43"/>
      <c r="T139" s="43"/>
      <c r="U139" s="43"/>
      <c r="V139" s="43"/>
    </row>
    <row r="140" spans="1:22" x14ac:dyDescent="0.3">
      <c r="A140" s="44"/>
      <c r="B140" s="44"/>
      <c r="C140" s="45"/>
      <c r="D140" s="43"/>
      <c r="E140" s="43"/>
      <c r="F140" s="43"/>
      <c r="G140" s="43"/>
      <c r="H140" s="43"/>
      <c r="I140" s="43"/>
      <c r="J140" s="43"/>
      <c r="K140" s="43"/>
      <c r="L140" s="43"/>
      <c r="M140" s="43"/>
      <c r="N140" s="43"/>
      <c r="O140" s="43"/>
      <c r="P140" s="43"/>
      <c r="Q140" s="43"/>
      <c r="R140" s="43"/>
      <c r="S140" s="43"/>
      <c r="T140" s="43"/>
      <c r="U140" s="43"/>
      <c r="V140" s="43"/>
    </row>
    <row r="141" spans="1:22" x14ac:dyDescent="0.3">
      <c r="A141" s="44"/>
      <c r="B141" s="44"/>
      <c r="C141" s="45"/>
      <c r="D141" s="43"/>
      <c r="E141" s="43"/>
      <c r="F141" s="43"/>
      <c r="G141" s="43"/>
      <c r="H141" s="43"/>
      <c r="I141" s="43"/>
      <c r="J141" s="43"/>
      <c r="K141" s="43"/>
      <c r="L141" s="43"/>
      <c r="M141" s="43"/>
      <c r="N141" s="43"/>
      <c r="O141" s="43"/>
      <c r="P141" s="43"/>
      <c r="Q141" s="43"/>
      <c r="R141" s="43"/>
      <c r="S141" s="43"/>
      <c r="T141" s="43"/>
      <c r="U141" s="43"/>
      <c r="V141" s="43"/>
    </row>
    <row r="142" spans="1:22" x14ac:dyDescent="0.3">
      <c r="A142" s="44"/>
      <c r="B142" s="44"/>
      <c r="C142" s="45"/>
      <c r="D142" s="43"/>
      <c r="E142" s="43"/>
      <c r="F142" s="43"/>
      <c r="G142" s="43"/>
      <c r="H142" s="43"/>
      <c r="I142" s="43"/>
      <c r="J142" s="43"/>
      <c r="K142" s="43"/>
      <c r="L142" s="43"/>
      <c r="M142" s="43"/>
      <c r="N142" s="43"/>
      <c r="O142" s="43"/>
      <c r="P142" s="43"/>
      <c r="Q142" s="43"/>
      <c r="R142" s="43"/>
      <c r="S142" s="43"/>
      <c r="T142" s="43"/>
      <c r="U142" s="43"/>
      <c r="V142" s="43"/>
    </row>
    <row r="143" spans="1:22" x14ac:dyDescent="0.3">
      <c r="A143" s="44"/>
      <c r="B143" s="44"/>
      <c r="C143" s="45"/>
      <c r="D143" s="43"/>
      <c r="E143" s="43"/>
      <c r="F143" s="43"/>
      <c r="G143" s="43"/>
      <c r="H143" s="43"/>
      <c r="I143" s="43"/>
      <c r="J143" s="43"/>
      <c r="K143" s="43"/>
      <c r="L143" s="43"/>
      <c r="M143" s="43"/>
      <c r="N143" s="43"/>
      <c r="O143" s="43"/>
      <c r="P143" s="43"/>
      <c r="Q143" s="43"/>
      <c r="R143" s="43"/>
      <c r="S143" s="43"/>
      <c r="T143" s="43"/>
      <c r="U143" s="43"/>
      <c r="V143" s="43"/>
    </row>
    <row r="144" spans="1:22" x14ac:dyDescent="0.3">
      <c r="A144" s="44"/>
      <c r="B144" s="44"/>
      <c r="C144" s="45"/>
      <c r="D144" s="43"/>
      <c r="E144" s="43"/>
      <c r="F144" s="43"/>
      <c r="G144" s="43"/>
      <c r="H144" s="43"/>
      <c r="I144" s="43"/>
      <c r="J144" s="43"/>
      <c r="K144" s="43"/>
      <c r="L144" s="43"/>
      <c r="M144" s="43"/>
      <c r="N144" s="43"/>
      <c r="O144" s="43"/>
      <c r="P144" s="43"/>
      <c r="Q144" s="43"/>
      <c r="R144" s="43"/>
      <c r="S144" s="43"/>
      <c r="T144" s="43"/>
      <c r="U144" s="43"/>
      <c r="V144" s="43"/>
    </row>
    <row r="145" spans="1:22" x14ac:dyDescent="0.3">
      <c r="A145" s="44"/>
      <c r="B145" s="44"/>
      <c r="C145" s="45"/>
      <c r="D145" s="43"/>
      <c r="E145" s="43"/>
      <c r="F145" s="43"/>
      <c r="G145" s="43"/>
      <c r="H145" s="43"/>
      <c r="I145" s="43"/>
      <c r="J145" s="43"/>
      <c r="K145" s="43"/>
      <c r="L145" s="43"/>
      <c r="M145" s="43"/>
      <c r="N145" s="43"/>
      <c r="O145" s="43"/>
      <c r="P145" s="43"/>
      <c r="Q145" s="43"/>
      <c r="R145" s="43"/>
      <c r="S145" s="43"/>
      <c r="T145" s="43"/>
      <c r="U145" s="43"/>
      <c r="V145" s="43"/>
    </row>
    <row r="146" spans="1:22" x14ac:dyDescent="0.3">
      <c r="A146" s="44"/>
      <c r="B146" s="44"/>
      <c r="C146" s="45"/>
      <c r="D146" s="43"/>
      <c r="E146" s="43"/>
      <c r="F146" s="43"/>
      <c r="G146" s="43"/>
      <c r="H146" s="43"/>
      <c r="I146" s="43"/>
      <c r="J146" s="43"/>
      <c r="K146" s="43"/>
      <c r="L146" s="43"/>
      <c r="M146" s="43"/>
      <c r="N146" s="43"/>
      <c r="O146" s="43"/>
      <c r="P146" s="43"/>
      <c r="Q146" s="43"/>
      <c r="R146" s="43"/>
      <c r="S146" s="43"/>
      <c r="T146" s="43"/>
      <c r="U146" s="43"/>
      <c r="V146" s="43"/>
    </row>
    <row r="147" spans="1:22" x14ac:dyDescent="0.3">
      <c r="A147" s="44"/>
      <c r="B147" s="44"/>
      <c r="C147" s="45"/>
      <c r="D147" s="43"/>
      <c r="E147" s="43"/>
      <c r="F147" s="43"/>
      <c r="G147" s="43"/>
      <c r="H147" s="43"/>
      <c r="I147" s="43"/>
      <c r="J147" s="43"/>
      <c r="K147" s="43"/>
      <c r="L147" s="43"/>
      <c r="M147" s="43"/>
      <c r="N147" s="43"/>
      <c r="O147" s="43"/>
      <c r="P147" s="43"/>
      <c r="Q147" s="43"/>
      <c r="R147" s="43"/>
      <c r="S147" s="43"/>
      <c r="T147" s="43"/>
      <c r="U147" s="43"/>
      <c r="V147" s="43"/>
    </row>
    <row r="148" spans="1:22" x14ac:dyDescent="0.3">
      <c r="A148" s="44"/>
      <c r="B148" s="44"/>
      <c r="C148" s="45"/>
      <c r="D148" s="43"/>
      <c r="E148" s="43"/>
      <c r="F148" s="43"/>
      <c r="G148" s="43"/>
      <c r="H148" s="43"/>
      <c r="I148" s="43"/>
      <c r="J148" s="43"/>
      <c r="K148" s="43"/>
      <c r="L148" s="43"/>
      <c r="M148" s="43"/>
      <c r="N148" s="43"/>
      <c r="O148" s="43"/>
      <c r="P148" s="43"/>
      <c r="Q148" s="43"/>
      <c r="R148" s="43"/>
      <c r="S148" s="43"/>
      <c r="T148" s="43"/>
      <c r="U148" s="43"/>
      <c r="V148" s="43"/>
    </row>
    <row r="149" spans="1:22" x14ac:dyDescent="0.3">
      <c r="A149" s="44"/>
      <c r="B149" s="44"/>
      <c r="C149" s="45"/>
      <c r="D149" s="43"/>
      <c r="E149" s="43"/>
      <c r="F149" s="43"/>
      <c r="G149" s="43"/>
      <c r="H149" s="43"/>
      <c r="I149" s="43"/>
      <c r="J149" s="43"/>
      <c r="K149" s="43"/>
      <c r="L149" s="43"/>
      <c r="M149" s="43"/>
      <c r="N149" s="43"/>
      <c r="O149" s="43"/>
      <c r="P149" s="43"/>
      <c r="Q149" s="43"/>
      <c r="R149" s="43"/>
      <c r="S149" s="43"/>
      <c r="T149" s="43"/>
      <c r="U149" s="43"/>
      <c r="V149" s="43"/>
    </row>
    <row r="150" spans="1:22" x14ac:dyDescent="0.3">
      <c r="A150" s="44"/>
      <c r="B150" s="44"/>
      <c r="C150" s="45"/>
      <c r="D150" s="43"/>
      <c r="E150" s="43"/>
      <c r="F150" s="43"/>
      <c r="G150" s="43"/>
      <c r="H150" s="43"/>
      <c r="I150" s="43"/>
      <c r="J150" s="43"/>
      <c r="K150" s="43"/>
      <c r="L150" s="43"/>
      <c r="M150" s="43"/>
      <c r="N150" s="43"/>
      <c r="O150" s="43"/>
      <c r="P150" s="43"/>
      <c r="Q150" s="43"/>
      <c r="R150" s="43"/>
      <c r="S150" s="43"/>
      <c r="T150" s="43"/>
      <c r="U150" s="43"/>
      <c r="V150" s="43"/>
    </row>
    <row r="151" spans="1:22" x14ac:dyDescent="0.3">
      <c r="A151" s="44"/>
      <c r="B151" s="44"/>
      <c r="C151" s="45"/>
      <c r="D151" s="43"/>
      <c r="E151" s="43"/>
      <c r="F151" s="43"/>
      <c r="G151" s="43"/>
      <c r="H151" s="43"/>
      <c r="I151" s="43"/>
      <c r="J151" s="43"/>
      <c r="K151" s="43"/>
      <c r="L151" s="43"/>
      <c r="M151" s="43"/>
      <c r="N151" s="43"/>
      <c r="O151" s="43"/>
      <c r="P151" s="43"/>
      <c r="Q151" s="43"/>
      <c r="R151" s="43"/>
      <c r="S151" s="43"/>
      <c r="T151" s="43"/>
      <c r="U151" s="43"/>
      <c r="V151" s="43"/>
    </row>
    <row r="152" spans="1:22" x14ac:dyDescent="0.3">
      <c r="A152" s="44"/>
      <c r="B152" s="44"/>
      <c r="C152" s="45"/>
      <c r="D152" s="43"/>
      <c r="E152" s="43"/>
      <c r="F152" s="43"/>
      <c r="G152" s="43"/>
      <c r="H152" s="43"/>
      <c r="I152" s="43"/>
      <c r="J152" s="43"/>
      <c r="K152" s="43"/>
      <c r="L152" s="43"/>
      <c r="M152" s="43"/>
      <c r="N152" s="43"/>
      <c r="O152" s="43"/>
      <c r="P152" s="43"/>
      <c r="Q152" s="43"/>
      <c r="R152" s="43"/>
      <c r="S152" s="43"/>
      <c r="T152" s="43"/>
      <c r="U152" s="43"/>
      <c r="V152" s="43"/>
    </row>
    <row r="153" spans="1:22" x14ac:dyDescent="0.3">
      <c r="A153" s="44"/>
      <c r="B153" s="44"/>
      <c r="C153" s="45"/>
      <c r="D153" s="43"/>
      <c r="E153" s="43"/>
      <c r="F153" s="43"/>
      <c r="G153" s="43"/>
      <c r="H153" s="43"/>
      <c r="I153" s="43"/>
      <c r="J153" s="43"/>
      <c r="K153" s="43"/>
      <c r="L153" s="43"/>
      <c r="M153" s="43"/>
      <c r="N153" s="43"/>
      <c r="O153" s="43"/>
      <c r="P153" s="43"/>
      <c r="Q153" s="43"/>
      <c r="R153" s="43"/>
      <c r="S153" s="43"/>
      <c r="T153" s="43"/>
      <c r="U153" s="43"/>
      <c r="V153" s="43"/>
    </row>
    <row r="154" spans="1:22" x14ac:dyDescent="0.3">
      <c r="A154" s="44"/>
      <c r="B154" s="44"/>
      <c r="C154" s="45"/>
      <c r="D154" s="43"/>
      <c r="E154" s="43"/>
      <c r="F154" s="43"/>
      <c r="G154" s="43"/>
      <c r="H154" s="43"/>
      <c r="I154" s="43"/>
      <c r="J154" s="43"/>
      <c r="K154" s="43"/>
      <c r="L154" s="43"/>
      <c r="M154" s="43"/>
      <c r="N154" s="43"/>
      <c r="O154" s="43"/>
      <c r="P154" s="43"/>
      <c r="Q154" s="43"/>
      <c r="R154" s="43"/>
      <c r="S154" s="43"/>
      <c r="T154" s="43"/>
      <c r="U154" s="43"/>
      <c r="V154" s="43"/>
    </row>
    <row r="155" spans="1:22" x14ac:dyDescent="0.3">
      <c r="A155" s="44"/>
      <c r="B155" s="44"/>
      <c r="C155" s="45"/>
      <c r="D155" s="43"/>
      <c r="E155" s="43"/>
      <c r="F155" s="43"/>
      <c r="G155" s="43"/>
      <c r="H155" s="43"/>
      <c r="I155" s="43"/>
      <c r="J155" s="43"/>
      <c r="K155" s="43"/>
      <c r="L155" s="43"/>
      <c r="M155" s="43"/>
      <c r="N155" s="43"/>
      <c r="O155" s="43"/>
      <c r="P155" s="43"/>
      <c r="Q155" s="43"/>
      <c r="R155" s="43"/>
      <c r="S155" s="43"/>
      <c r="T155" s="43"/>
      <c r="U155" s="43"/>
      <c r="V155" s="43"/>
    </row>
    <row r="156" spans="1:22" x14ac:dyDescent="0.3">
      <c r="A156" s="44"/>
      <c r="B156" s="44"/>
      <c r="C156" s="45"/>
      <c r="D156" s="43"/>
      <c r="E156" s="43"/>
      <c r="F156" s="43"/>
      <c r="G156" s="43"/>
      <c r="H156" s="43"/>
      <c r="I156" s="43"/>
      <c r="J156" s="43"/>
      <c r="K156" s="43"/>
      <c r="L156" s="43"/>
      <c r="M156" s="43"/>
      <c r="N156" s="43"/>
      <c r="O156" s="43"/>
      <c r="P156" s="43"/>
      <c r="Q156" s="43"/>
      <c r="R156" s="43"/>
      <c r="S156" s="43"/>
      <c r="T156" s="43"/>
      <c r="U156" s="43"/>
      <c r="V156" s="43"/>
    </row>
    <row r="157" spans="1:22" x14ac:dyDescent="0.3">
      <c r="A157" s="44"/>
      <c r="B157" s="44"/>
      <c r="C157" s="45"/>
      <c r="D157" s="43"/>
      <c r="E157" s="43"/>
      <c r="F157" s="43"/>
      <c r="G157" s="43"/>
      <c r="H157" s="43"/>
      <c r="I157" s="43"/>
      <c r="J157" s="43"/>
      <c r="K157" s="43"/>
      <c r="L157" s="43"/>
      <c r="M157" s="43"/>
      <c r="N157" s="43"/>
      <c r="O157" s="43"/>
      <c r="P157" s="43"/>
      <c r="Q157" s="43"/>
      <c r="R157" s="43"/>
      <c r="S157" s="43"/>
      <c r="T157" s="43"/>
      <c r="U157" s="43"/>
      <c r="V157" s="43"/>
    </row>
    <row r="158" spans="1:22" x14ac:dyDescent="0.3">
      <c r="A158" s="44"/>
      <c r="B158" s="44"/>
      <c r="C158" s="45"/>
      <c r="D158" s="43"/>
      <c r="E158" s="43"/>
      <c r="F158" s="43"/>
      <c r="G158" s="43"/>
      <c r="H158" s="43"/>
      <c r="I158" s="43"/>
      <c r="J158" s="43"/>
      <c r="K158" s="43"/>
      <c r="L158" s="43"/>
      <c r="M158" s="43"/>
      <c r="N158" s="43"/>
      <c r="O158" s="43"/>
      <c r="P158" s="43"/>
      <c r="Q158" s="43"/>
      <c r="R158" s="43"/>
      <c r="S158" s="43"/>
      <c r="T158" s="43"/>
      <c r="U158" s="43"/>
      <c r="V158" s="43"/>
    </row>
    <row r="159" spans="1:22" x14ac:dyDescent="0.3">
      <c r="A159" s="44"/>
      <c r="B159" s="44"/>
      <c r="C159" s="45"/>
      <c r="D159" s="43"/>
      <c r="E159" s="43"/>
      <c r="F159" s="43"/>
      <c r="G159" s="43"/>
      <c r="H159" s="43"/>
      <c r="I159" s="43"/>
      <c r="J159" s="43"/>
      <c r="K159" s="43"/>
      <c r="L159" s="43"/>
      <c r="M159" s="43"/>
      <c r="N159" s="43"/>
      <c r="O159" s="43"/>
      <c r="P159" s="43"/>
      <c r="Q159" s="43"/>
      <c r="R159" s="43"/>
      <c r="S159" s="43"/>
      <c r="T159" s="43"/>
      <c r="U159" s="43"/>
      <c r="V159" s="43"/>
    </row>
    <row r="160" spans="1:22" x14ac:dyDescent="0.3">
      <c r="A160" s="44"/>
      <c r="B160" s="44"/>
      <c r="C160" s="45"/>
      <c r="D160" s="43"/>
      <c r="E160" s="43"/>
      <c r="F160" s="43"/>
      <c r="G160" s="43"/>
      <c r="H160" s="43"/>
      <c r="I160" s="43"/>
      <c r="J160" s="43"/>
      <c r="K160" s="43"/>
      <c r="L160" s="43"/>
      <c r="M160" s="43"/>
      <c r="N160" s="43"/>
      <c r="O160" s="43"/>
      <c r="P160" s="43"/>
      <c r="Q160" s="43"/>
      <c r="R160" s="43"/>
      <c r="S160" s="43"/>
      <c r="T160" s="43"/>
      <c r="U160" s="43"/>
      <c r="V160" s="43"/>
    </row>
    <row r="161" spans="1:22" x14ac:dyDescent="0.3">
      <c r="A161" s="44"/>
      <c r="B161" s="44"/>
      <c r="C161" s="45"/>
      <c r="D161" s="43"/>
      <c r="E161" s="43"/>
      <c r="F161" s="43"/>
      <c r="G161" s="43"/>
      <c r="H161" s="43"/>
      <c r="I161" s="43"/>
      <c r="J161" s="43"/>
      <c r="K161" s="43"/>
      <c r="L161" s="43"/>
      <c r="M161" s="43"/>
      <c r="N161" s="43"/>
      <c r="O161" s="43"/>
      <c r="P161" s="43"/>
      <c r="Q161" s="43"/>
      <c r="R161" s="43"/>
      <c r="S161" s="43"/>
      <c r="T161" s="43"/>
      <c r="U161" s="43"/>
      <c r="V161" s="43"/>
    </row>
    <row r="162" spans="1:22" x14ac:dyDescent="0.3">
      <c r="A162" s="44"/>
      <c r="B162" s="44"/>
      <c r="C162" s="45"/>
      <c r="D162" s="43"/>
      <c r="E162" s="43"/>
      <c r="F162" s="43"/>
      <c r="G162" s="43"/>
      <c r="H162" s="43"/>
      <c r="I162" s="43"/>
      <c r="J162" s="43"/>
      <c r="K162" s="43"/>
      <c r="L162" s="43"/>
      <c r="M162" s="43"/>
      <c r="N162" s="43"/>
      <c r="O162" s="43"/>
      <c r="P162" s="43"/>
      <c r="Q162" s="43"/>
      <c r="R162" s="43"/>
      <c r="S162" s="43"/>
      <c r="T162" s="43"/>
      <c r="U162" s="43"/>
      <c r="V162" s="43"/>
    </row>
    <row r="163" spans="1:22" x14ac:dyDescent="0.3">
      <c r="A163" s="44"/>
      <c r="B163" s="44"/>
      <c r="C163" s="45"/>
      <c r="D163" s="43"/>
      <c r="E163" s="43"/>
      <c r="F163" s="43"/>
      <c r="G163" s="43"/>
      <c r="H163" s="43"/>
      <c r="I163" s="43"/>
      <c r="J163" s="43"/>
      <c r="K163" s="43"/>
      <c r="L163" s="43"/>
      <c r="M163" s="43"/>
      <c r="N163" s="43"/>
      <c r="O163" s="43"/>
      <c r="P163" s="43"/>
      <c r="Q163" s="43"/>
      <c r="R163" s="43"/>
      <c r="S163" s="43"/>
      <c r="T163" s="43"/>
      <c r="U163" s="43"/>
      <c r="V163" s="43"/>
    </row>
    <row r="164" spans="1:22" x14ac:dyDescent="0.3">
      <c r="A164" s="44"/>
      <c r="B164" s="44"/>
      <c r="C164" s="45"/>
      <c r="D164" s="43"/>
      <c r="E164" s="43"/>
      <c r="F164" s="43"/>
      <c r="G164" s="43"/>
      <c r="H164" s="43"/>
      <c r="I164" s="43"/>
      <c r="J164" s="43"/>
      <c r="K164" s="43"/>
      <c r="L164" s="43"/>
      <c r="M164" s="43"/>
      <c r="N164" s="43"/>
      <c r="O164" s="43"/>
      <c r="P164" s="43"/>
      <c r="Q164" s="43"/>
      <c r="R164" s="43"/>
      <c r="S164" s="43"/>
      <c r="T164" s="43"/>
      <c r="U164" s="43"/>
      <c r="V164" s="43"/>
    </row>
    <row r="165" spans="1:22" x14ac:dyDescent="0.3">
      <c r="A165" s="44"/>
      <c r="B165" s="44"/>
      <c r="C165" s="45"/>
      <c r="D165" s="43"/>
      <c r="E165" s="43"/>
      <c r="F165" s="43"/>
      <c r="G165" s="43"/>
      <c r="H165" s="43"/>
      <c r="I165" s="43"/>
      <c r="J165" s="43"/>
      <c r="K165" s="43"/>
      <c r="L165" s="43"/>
      <c r="M165" s="43"/>
      <c r="N165" s="43"/>
      <c r="O165" s="43"/>
      <c r="P165" s="43"/>
      <c r="Q165" s="43"/>
      <c r="R165" s="43"/>
      <c r="S165" s="43"/>
      <c r="T165" s="43"/>
      <c r="U165" s="43"/>
      <c r="V165" s="43"/>
    </row>
    <row r="166" spans="1:22" x14ac:dyDescent="0.3">
      <c r="A166" s="44"/>
      <c r="B166" s="44"/>
      <c r="C166" s="45"/>
      <c r="D166" s="43"/>
      <c r="E166" s="43"/>
      <c r="F166" s="43"/>
      <c r="G166" s="43"/>
      <c r="H166" s="43"/>
      <c r="I166" s="43"/>
      <c r="J166" s="43"/>
      <c r="K166" s="43"/>
      <c r="L166" s="43"/>
      <c r="M166" s="43"/>
      <c r="N166" s="43"/>
      <c r="O166" s="43"/>
      <c r="P166" s="43"/>
      <c r="Q166" s="43"/>
      <c r="R166" s="43"/>
      <c r="S166" s="43"/>
      <c r="T166" s="43"/>
      <c r="U166" s="43"/>
      <c r="V166" s="43"/>
    </row>
    <row r="167" spans="1:22" x14ac:dyDescent="0.3">
      <c r="A167" s="44"/>
      <c r="B167" s="44"/>
      <c r="C167" s="45"/>
      <c r="D167" s="43"/>
      <c r="E167" s="43"/>
      <c r="F167" s="43"/>
      <c r="G167" s="43"/>
      <c r="H167" s="43"/>
      <c r="I167" s="43"/>
      <c r="J167" s="43"/>
      <c r="K167" s="43"/>
      <c r="L167" s="43"/>
      <c r="M167" s="43"/>
      <c r="N167" s="43"/>
      <c r="O167" s="43"/>
      <c r="P167" s="43"/>
      <c r="Q167" s="43"/>
      <c r="R167" s="43"/>
      <c r="S167" s="43"/>
      <c r="T167" s="43"/>
      <c r="U167" s="43"/>
      <c r="V167" s="43"/>
    </row>
    <row r="168" spans="1:22" x14ac:dyDescent="0.3">
      <c r="A168" s="44"/>
      <c r="B168" s="44"/>
      <c r="C168" s="45"/>
      <c r="D168" s="43"/>
      <c r="E168" s="43"/>
      <c r="F168" s="43"/>
      <c r="G168" s="43"/>
      <c r="H168" s="43"/>
      <c r="I168" s="43"/>
      <c r="J168" s="43"/>
      <c r="K168" s="43"/>
      <c r="L168" s="43"/>
      <c r="M168" s="43"/>
      <c r="N168" s="43"/>
      <c r="O168" s="43"/>
      <c r="P168" s="43"/>
      <c r="Q168" s="43"/>
      <c r="R168" s="43"/>
      <c r="S168" s="43"/>
      <c r="T168" s="43"/>
      <c r="U168" s="43"/>
      <c r="V168" s="43"/>
    </row>
    <row r="169" spans="1:22" x14ac:dyDescent="0.3">
      <c r="A169" s="44"/>
      <c r="B169" s="44"/>
      <c r="C169" s="45"/>
      <c r="D169" s="43"/>
      <c r="E169" s="43"/>
      <c r="F169" s="43"/>
      <c r="G169" s="43"/>
      <c r="H169" s="43"/>
      <c r="I169" s="43"/>
      <c r="J169" s="43"/>
      <c r="K169" s="43"/>
      <c r="L169" s="43"/>
      <c r="M169" s="43"/>
      <c r="N169" s="43"/>
      <c r="O169" s="43"/>
      <c r="P169" s="43"/>
      <c r="Q169" s="43"/>
      <c r="R169" s="43"/>
      <c r="S169" s="43"/>
      <c r="T169" s="43"/>
      <c r="U169" s="43"/>
      <c r="V169" s="43"/>
    </row>
    <row r="170" spans="1:22" x14ac:dyDescent="0.3">
      <c r="A170" s="44"/>
      <c r="B170" s="44"/>
      <c r="C170" s="45"/>
      <c r="D170" s="43"/>
      <c r="E170" s="43"/>
      <c r="F170" s="43"/>
      <c r="G170" s="43"/>
      <c r="H170" s="43"/>
      <c r="I170" s="43"/>
      <c r="J170" s="43"/>
      <c r="K170" s="43"/>
      <c r="L170" s="43"/>
      <c r="M170" s="43"/>
      <c r="N170" s="43"/>
      <c r="O170" s="43"/>
      <c r="P170" s="43"/>
      <c r="Q170" s="43"/>
      <c r="R170" s="43"/>
      <c r="S170" s="43"/>
      <c r="T170" s="43"/>
      <c r="U170" s="43"/>
      <c r="V170" s="43"/>
    </row>
    <row r="171" spans="1:22" x14ac:dyDescent="0.3">
      <c r="A171" s="44"/>
      <c r="B171" s="44"/>
      <c r="C171" s="45"/>
      <c r="D171" s="43"/>
      <c r="E171" s="43"/>
      <c r="F171" s="43"/>
      <c r="G171" s="43"/>
      <c r="H171" s="43"/>
      <c r="I171" s="43"/>
      <c r="J171" s="43"/>
      <c r="K171" s="43"/>
      <c r="L171" s="43"/>
      <c r="M171" s="43"/>
      <c r="N171" s="43"/>
      <c r="O171" s="43"/>
      <c r="P171" s="43"/>
      <c r="Q171" s="43"/>
      <c r="R171" s="43"/>
      <c r="S171" s="43"/>
      <c r="T171" s="43"/>
      <c r="U171" s="43"/>
      <c r="V171" s="43"/>
    </row>
    <row r="172" spans="1:22" x14ac:dyDescent="0.3">
      <c r="A172" s="44"/>
      <c r="B172" s="44"/>
      <c r="C172" s="45"/>
      <c r="D172" s="43"/>
      <c r="E172" s="43"/>
      <c r="F172" s="43"/>
      <c r="G172" s="43"/>
      <c r="H172" s="43"/>
      <c r="I172" s="43"/>
      <c r="J172" s="43"/>
      <c r="K172" s="43"/>
      <c r="L172" s="43"/>
      <c r="M172" s="43"/>
      <c r="N172" s="43"/>
      <c r="O172" s="43"/>
      <c r="P172" s="43"/>
      <c r="Q172" s="43"/>
      <c r="R172" s="43"/>
      <c r="S172" s="43"/>
      <c r="T172" s="43"/>
      <c r="U172" s="43"/>
      <c r="V172" s="43"/>
    </row>
    <row r="173" spans="1:22" x14ac:dyDescent="0.3">
      <c r="A173" s="44"/>
      <c r="B173" s="44"/>
      <c r="C173" s="45"/>
      <c r="D173" s="43"/>
      <c r="E173" s="43"/>
      <c r="F173" s="43"/>
      <c r="G173" s="43"/>
      <c r="H173" s="43"/>
      <c r="I173" s="43"/>
      <c r="J173" s="43"/>
      <c r="K173" s="43"/>
      <c r="L173" s="43"/>
      <c r="M173" s="43"/>
      <c r="N173" s="43"/>
      <c r="O173" s="43"/>
      <c r="P173" s="43"/>
      <c r="Q173" s="43"/>
      <c r="R173" s="43"/>
      <c r="S173" s="43"/>
      <c r="T173" s="43"/>
      <c r="U173" s="43"/>
      <c r="V173" s="43"/>
    </row>
    <row r="174" spans="1:22" x14ac:dyDescent="0.3">
      <c r="A174" s="44"/>
      <c r="B174" s="44"/>
      <c r="C174" s="45"/>
      <c r="D174" s="43"/>
      <c r="E174" s="43"/>
      <c r="F174" s="43"/>
      <c r="G174" s="43"/>
      <c r="H174" s="43"/>
      <c r="I174" s="43"/>
      <c r="J174" s="43"/>
      <c r="K174" s="43"/>
      <c r="L174" s="43"/>
      <c r="M174" s="43"/>
      <c r="N174" s="43"/>
      <c r="O174" s="43"/>
      <c r="P174" s="43"/>
      <c r="Q174" s="43"/>
      <c r="R174" s="43"/>
      <c r="S174" s="43"/>
      <c r="T174" s="43"/>
      <c r="U174" s="43"/>
      <c r="V174" s="43"/>
    </row>
    <row r="175" spans="1:22" x14ac:dyDescent="0.3">
      <c r="A175" s="44"/>
      <c r="B175" s="44"/>
      <c r="C175" s="45"/>
      <c r="D175" s="43"/>
      <c r="E175" s="43"/>
      <c r="F175" s="43"/>
      <c r="G175" s="43"/>
      <c r="H175" s="43"/>
      <c r="I175" s="43"/>
      <c r="J175" s="43"/>
      <c r="K175" s="43"/>
      <c r="L175" s="43"/>
      <c r="M175" s="43"/>
      <c r="N175" s="43"/>
      <c r="O175" s="43"/>
      <c r="P175" s="43"/>
      <c r="Q175" s="43"/>
      <c r="R175" s="43"/>
      <c r="S175" s="43"/>
      <c r="T175" s="43"/>
      <c r="U175" s="43"/>
      <c r="V175" s="43"/>
    </row>
    <row r="176" spans="1:22" x14ac:dyDescent="0.3">
      <c r="A176" s="44"/>
      <c r="B176" s="44"/>
      <c r="C176" s="45"/>
      <c r="D176" s="43"/>
      <c r="E176" s="43"/>
      <c r="F176" s="43"/>
      <c r="G176" s="43"/>
      <c r="H176" s="43"/>
      <c r="I176" s="43"/>
      <c r="J176" s="43"/>
      <c r="K176" s="43"/>
      <c r="L176" s="43"/>
      <c r="M176" s="43"/>
      <c r="N176" s="43"/>
      <c r="O176" s="43"/>
      <c r="P176" s="43"/>
      <c r="Q176" s="43"/>
      <c r="R176" s="43"/>
      <c r="S176" s="43"/>
      <c r="T176" s="43"/>
      <c r="U176" s="43"/>
      <c r="V176" s="43"/>
    </row>
    <row r="177" spans="1:22" x14ac:dyDescent="0.3">
      <c r="A177" s="44"/>
      <c r="B177" s="44"/>
      <c r="C177" s="45"/>
      <c r="D177" s="43"/>
      <c r="E177" s="43"/>
      <c r="F177" s="43"/>
      <c r="G177" s="43"/>
      <c r="H177" s="43"/>
      <c r="I177" s="43"/>
      <c r="J177" s="43"/>
      <c r="K177" s="43"/>
      <c r="L177" s="43"/>
      <c r="M177" s="43"/>
      <c r="N177" s="43"/>
      <c r="O177" s="43"/>
      <c r="P177" s="43"/>
      <c r="Q177" s="43"/>
      <c r="R177" s="43"/>
      <c r="S177" s="43"/>
      <c r="T177" s="43"/>
      <c r="U177" s="43"/>
      <c r="V177" s="43"/>
    </row>
    <row r="178" spans="1:22" x14ac:dyDescent="0.3">
      <c r="A178" s="44"/>
      <c r="B178" s="44"/>
      <c r="C178" s="45"/>
      <c r="D178" s="43"/>
      <c r="E178" s="43"/>
      <c r="F178" s="43"/>
      <c r="G178" s="43"/>
      <c r="H178" s="43"/>
      <c r="I178" s="43"/>
      <c r="J178" s="43"/>
      <c r="K178" s="43"/>
      <c r="L178" s="43"/>
      <c r="M178" s="43"/>
      <c r="N178" s="43"/>
      <c r="O178" s="43"/>
      <c r="P178" s="43"/>
      <c r="Q178" s="43"/>
      <c r="R178" s="43"/>
      <c r="S178" s="43"/>
      <c r="T178" s="43"/>
      <c r="U178" s="43"/>
      <c r="V178" s="43"/>
    </row>
    <row r="179" spans="1:22" x14ac:dyDescent="0.3">
      <c r="A179" s="44"/>
      <c r="B179" s="44"/>
      <c r="C179" s="45"/>
      <c r="D179" s="43"/>
      <c r="E179" s="43"/>
      <c r="F179" s="43"/>
      <c r="G179" s="43"/>
      <c r="H179" s="43"/>
      <c r="I179" s="43"/>
      <c r="J179" s="43"/>
      <c r="K179" s="43"/>
      <c r="L179" s="43"/>
      <c r="M179" s="43"/>
      <c r="N179" s="43"/>
      <c r="O179" s="43"/>
      <c r="P179" s="43"/>
      <c r="Q179" s="43"/>
      <c r="R179" s="43"/>
      <c r="S179" s="43"/>
      <c r="T179" s="43"/>
      <c r="U179" s="43"/>
      <c r="V179" s="43"/>
    </row>
    <row r="180" spans="1:22" x14ac:dyDescent="0.3">
      <c r="A180" s="44"/>
      <c r="B180" s="44"/>
      <c r="C180" s="45"/>
      <c r="D180" s="43"/>
      <c r="E180" s="43"/>
      <c r="F180" s="43"/>
      <c r="G180" s="43"/>
      <c r="H180" s="43"/>
      <c r="I180" s="43"/>
      <c r="J180" s="43"/>
      <c r="K180" s="43"/>
      <c r="L180" s="43"/>
      <c r="M180" s="43"/>
      <c r="N180" s="43"/>
      <c r="O180" s="43"/>
      <c r="P180" s="43"/>
      <c r="Q180" s="43"/>
      <c r="R180" s="43"/>
      <c r="S180" s="43"/>
      <c r="T180" s="43"/>
      <c r="U180" s="43"/>
      <c r="V180" s="43"/>
    </row>
    <row r="181" spans="1:22" x14ac:dyDescent="0.3">
      <c r="A181" s="44"/>
      <c r="B181" s="44"/>
      <c r="C181" s="45"/>
      <c r="D181" s="43"/>
      <c r="E181" s="43"/>
      <c r="F181" s="43"/>
      <c r="G181" s="43"/>
      <c r="H181" s="43"/>
      <c r="I181" s="43"/>
      <c r="J181" s="43"/>
      <c r="K181" s="43"/>
      <c r="L181" s="43"/>
      <c r="M181" s="43"/>
      <c r="N181" s="43"/>
      <c r="O181" s="43"/>
      <c r="P181" s="43"/>
      <c r="Q181" s="43"/>
      <c r="R181" s="43"/>
      <c r="S181" s="43"/>
      <c r="T181" s="43"/>
      <c r="U181" s="43"/>
      <c r="V181" s="43"/>
    </row>
    <row r="182" spans="1:22" x14ac:dyDescent="0.3">
      <c r="A182" s="44"/>
      <c r="B182" s="44"/>
      <c r="C182" s="45"/>
      <c r="D182" s="43"/>
      <c r="E182" s="43"/>
      <c r="F182" s="43"/>
      <c r="G182" s="43"/>
      <c r="H182" s="43"/>
      <c r="I182" s="43"/>
      <c r="J182" s="43"/>
      <c r="K182" s="43"/>
      <c r="L182" s="43"/>
      <c r="M182" s="43"/>
      <c r="N182" s="43"/>
      <c r="O182" s="43"/>
      <c r="P182" s="43"/>
      <c r="Q182" s="43"/>
      <c r="R182" s="43"/>
      <c r="S182" s="43"/>
      <c r="T182" s="43"/>
      <c r="U182" s="43"/>
      <c r="V182" s="43"/>
    </row>
    <row r="183" spans="1:22" x14ac:dyDescent="0.3">
      <c r="A183" s="44"/>
      <c r="B183" s="44"/>
      <c r="C183" s="45"/>
      <c r="D183" s="43"/>
      <c r="E183" s="43"/>
      <c r="F183" s="43"/>
      <c r="G183" s="43"/>
      <c r="H183" s="43"/>
      <c r="I183" s="43"/>
      <c r="J183" s="43"/>
      <c r="K183" s="43"/>
      <c r="L183" s="43"/>
      <c r="M183" s="43"/>
      <c r="N183" s="43"/>
      <c r="O183" s="43"/>
      <c r="P183" s="43"/>
      <c r="Q183" s="43"/>
      <c r="R183" s="43"/>
      <c r="S183" s="43"/>
      <c r="T183" s="43"/>
      <c r="U183" s="43"/>
      <c r="V183" s="43"/>
    </row>
    <row r="184" spans="1:22" x14ac:dyDescent="0.3">
      <c r="A184" s="44"/>
      <c r="B184" s="44"/>
      <c r="C184" s="45"/>
      <c r="D184" s="43"/>
      <c r="E184" s="43"/>
      <c r="F184" s="43"/>
      <c r="G184" s="43"/>
      <c r="H184" s="43"/>
      <c r="I184" s="43"/>
      <c r="J184" s="43"/>
      <c r="K184" s="43"/>
      <c r="L184" s="43"/>
      <c r="M184" s="43"/>
      <c r="N184" s="43"/>
      <c r="O184" s="43"/>
      <c r="P184" s="43"/>
      <c r="Q184" s="43"/>
      <c r="R184" s="43"/>
      <c r="S184" s="43"/>
      <c r="T184" s="43"/>
      <c r="U184" s="43"/>
      <c r="V184" s="43"/>
    </row>
    <row r="185" spans="1:22" x14ac:dyDescent="0.3">
      <c r="A185" s="44"/>
      <c r="B185" s="44"/>
      <c r="C185" s="45"/>
      <c r="D185" s="43"/>
      <c r="E185" s="43"/>
      <c r="F185" s="43"/>
      <c r="G185" s="43"/>
      <c r="H185" s="43"/>
      <c r="I185" s="43"/>
      <c r="J185" s="43"/>
      <c r="K185" s="43"/>
      <c r="L185" s="43"/>
      <c r="M185" s="43"/>
      <c r="N185" s="43"/>
      <c r="O185" s="43"/>
      <c r="P185" s="43"/>
      <c r="Q185" s="43"/>
      <c r="R185" s="43"/>
      <c r="S185" s="43"/>
      <c r="T185" s="43"/>
      <c r="U185" s="43"/>
      <c r="V185" s="43"/>
    </row>
    <row r="186" spans="1:22" x14ac:dyDescent="0.3">
      <c r="A186" s="44"/>
      <c r="B186" s="44"/>
      <c r="C186" s="45"/>
      <c r="D186" s="43"/>
      <c r="E186" s="43"/>
      <c r="F186" s="43"/>
      <c r="G186" s="43"/>
      <c r="H186" s="43"/>
      <c r="I186" s="43"/>
      <c r="J186" s="43"/>
      <c r="K186" s="43"/>
      <c r="L186" s="43"/>
      <c r="M186" s="43"/>
      <c r="N186" s="43"/>
      <c r="O186" s="43"/>
      <c r="P186" s="43"/>
      <c r="Q186" s="43"/>
      <c r="R186" s="43"/>
      <c r="S186" s="43"/>
      <c r="T186" s="43"/>
      <c r="U186" s="43"/>
      <c r="V186" s="43"/>
    </row>
    <row r="187" spans="1:22" x14ac:dyDescent="0.3">
      <c r="A187" s="44"/>
      <c r="B187" s="44"/>
      <c r="C187" s="45"/>
      <c r="D187" s="43"/>
      <c r="E187" s="43"/>
      <c r="F187" s="43"/>
      <c r="G187" s="43"/>
      <c r="H187" s="43"/>
      <c r="I187" s="43"/>
      <c r="J187" s="43"/>
      <c r="K187" s="43"/>
      <c r="L187" s="43"/>
      <c r="M187" s="43"/>
      <c r="N187" s="43"/>
      <c r="O187" s="43"/>
      <c r="P187" s="43"/>
      <c r="Q187" s="43"/>
      <c r="R187" s="43"/>
      <c r="S187" s="43"/>
      <c r="T187" s="43"/>
      <c r="U187" s="43"/>
      <c r="V187" s="43"/>
    </row>
    <row r="188" spans="1:22" x14ac:dyDescent="0.3">
      <c r="A188" s="44"/>
      <c r="B188" s="44"/>
      <c r="C188" s="45"/>
      <c r="D188" s="43"/>
      <c r="E188" s="43"/>
      <c r="F188" s="43"/>
      <c r="G188" s="43"/>
      <c r="H188" s="43"/>
      <c r="I188" s="43"/>
      <c r="J188" s="43"/>
      <c r="K188" s="43"/>
      <c r="L188" s="43"/>
      <c r="M188" s="43"/>
      <c r="N188" s="43"/>
      <c r="O188" s="43"/>
      <c r="P188" s="43"/>
      <c r="Q188" s="43"/>
      <c r="R188" s="43"/>
      <c r="S188" s="43"/>
      <c r="T188" s="43"/>
      <c r="U188" s="43"/>
      <c r="V188" s="43"/>
    </row>
    <row r="189" spans="1:22" x14ac:dyDescent="0.3">
      <c r="A189" s="44"/>
      <c r="B189" s="44"/>
      <c r="C189" s="45"/>
      <c r="D189" s="43"/>
      <c r="E189" s="43"/>
      <c r="F189" s="43"/>
      <c r="G189" s="43"/>
      <c r="H189" s="43"/>
      <c r="I189" s="43"/>
      <c r="J189" s="43"/>
      <c r="K189" s="43"/>
      <c r="L189" s="43"/>
      <c r="M189" s="43"/>
      <c r="N189" s="43"/>
      <c r="O189" s="43"/>
      <c r="P189" s="43"/>
      <c r="Q189" s="43"/>
      <c r="R189" s="43"/>
      <c r="S189" s="43"/>
      <c r="T189" s="43"/>
      <c r="U189" s="43"/>
      <c r="V189" s="43"/>
    </row>
    <row r="190" spans="1:22" x14ac:dyDescent="0.3">
      <c r="A190" s="44"/>
      <c r="B190" s="44"/>
      <c r="C190" s="45"/>
      <c r="D190" s="43"/>
      <c r="E190" s="43"/>
      <c r="F190" s="43"/>
      <c r="G190" s="43"/>
      <c r="H190" s="43"/>
      <c r="I190" s="43"/>
      <c r="J190" s="43"/>
      <c r="K190" s="43"/>
      <c r="L190" s="43"/>
      <c r="M190" s="43"/>
      <c r="N190" s="43"/>
      <c r="O190" s="43"/>
      <c r="P190" s="43"/>
      <c r="Q190" s="43"/>
      <c r="R190" s="43"/>
      <c r="S190" s="43"/>
      <c r="T190" s="43"/>
      <c r="U190" s="43"/>
      <c r="V190" s="43"/>
    </row>
    <row r="191" spans="1:22" x14ac:dyDescent="0.3">
      <c r="A191" s="44"/>
      <c r="B191" s="44"/>
      <c r="C191" s="45"/>
      <c r="D191" s="43"/>
      <c r="E191" s="43"/>
      <c r="F191" s="43"/>
      <c r="G191" s="43"/>
      <c r="H191" s="43"/>
      <c r="I191" s="43"/>
      <c r="J191" s="43"/>
      <c r="K191" s="43"/>
      <c r="L191" s="43"/>
      <c r="M191" s="43"/>
      <c r="N191" s="43"/>
      <c r="O191" s="43"/>
      <c r="P191" s="43"/>
      <c r="Q191" s="43"/>
      <c r="R191" s="43"/>
      <c r="S191" s="43"/>
      <c r="T191" s="43"/>
      <c r="U191" s="43"/>
      <c r="V191" s="43"/>
    </row>
    <row r="192" spans="1:22" x14ac:dyDescent="0.3">
      <c r="A192" s="44"/>
      <c r="B192" s="44"/>
      <c r="C192" s="45"/>
      <c r="D192" s="43"/>
      <c r="E192" s="43"/>
      <c r="F192" s="43"/>
      <c r="G192" s="43"/>
      <c r="H192" s="43"/>
      <c r="I192" s="43"/>
      <c r="J192" s="43"/>
      <c r="K192" s="43"/>
      <c r="L192" s="43"/>
      <c r="M192" s="43"/>
      <c r="N192" s="43"/>
      <c r="O192" s="43"/>
      <c r="P192" s="43"/>
      <c r="Q192" s="43"/>
      <c r="R192" s="43"/>
      <c r="S192" s="43"/>
      <c r="T192" s="43"/>
      <c r="U192" s="43"/>
      <c r="V192" s="43"/>
    </row>
    <row r="193" spans="1:22" x14ac:dyDescent="0.3">
      <c r="A193" s="44"/>
      <c r="B193" s="44"/>
      <c r="C193" s="45"/>
      <c r="D193" s="43"/>
      <c r="E193" s="43"/>
      <c r="F193" s="43"/>
      <c r="G193" s="43"/>
      <c r="H193" s="43"/>
      <c r="I193" s="43"/>
      <c r="J193" s="43"/>
      <c r="K193" s="43"/>
      <c r="L193" s="43"/>
      <c r="M193" s="43"/>
      <c r="N193" s="43"/>
      <c r="O193" s="43"/>
      <c r="P193" s="43"/>
      <c r="Q193" s="43"/>
      <c r="R193" s="43"/>
      <c r="S193" s="43"/>
      <c r="T193" s="43"/>
      <c r="U193" s="43"/>
      <c r="V193" s="43"/>
    </row>
    <row r="194" spans="1:22" x14ac:dyDescent="0.3">
      <c r="A194" s="44"/>
      <c r="B194" s="44"/>
      <c r="C194" s="45"/>
      <c r="D194" s="43"/>
      <c r="E194" s="43"/>
      <c r="F194" s="43"/>
      <c r="G194" s="43"/>
      <c r="H194" s="43"/>
      <c r="I194" s="43"/>
      <c r="J194" s="43"/>
      <c r="K194" s="43"/>
      <c r="L194" s="43"/>
      <c r="M194" s="43"/>
      <c r="N194" s="43"/>
      <c r="O194" s="43"/>
      <c r="P194" s="43"/>
      <c r="Q194" s="43"/>
      <c r="R194" s="43"/>
      <c r="S194" s="43"/>
      <c r="T194" s="43"/>
      <c r="U194" s="43"/>
      <c r="V194" s="43"/>
    </row>
    <row r="195" spans="1:22" x14ac:dyDescent="0.3">
      <c r="A195" s="44"/>
      <c r="B195" s="44"/>
      <c r="C195" s="45"/>
      <c r="D195" s="43"/>
      <c r="E195" s="43"/>
      <c r="F195" s="43"/>
      <c r="G195" s="43"/>
      <c r="H195" s="43"/>
      <c r="I195" s="43"/>
      <c r="J195" s="43"/>
      <c r="K195" s="43"/>
      <c r="L195" s="43"/>
      <c r="M195" s="43"/>
      <c r="N195" s="43"/>
      <c r="O195" s="43"/>
      <c r="P195" s="43"/>
      <c r="Q195" s="43"/>
      <c r="R195" s="43"/>
      <c r="S195" s="43"/>
      <c r="T195" s="43"/>
      <c r="U195" s="43"/>
      <c r="V195" s="43"/>
    </row>
    <row r="196" spans="1:22" x14ac:dyDescent="0.3">
      <c r="A196" s="44"/>
      <c r="B196" s="44"/>
      <c r="C196" s="45"/>
      <c r="D196" s="43"/>
      <c r="E196" s="43"/>
      <c r="F196" s="43"/>
      <c r="G196" s="43"/>
      <c r="H196" s="43"/>
      <c r="I196" s="43"/>
      <c r="J196" s="43"/>
      <c r="K196" s="43"/>
      <c r="L196" s="43"/>
      <c r="M196" s="43"/>
      <c r="N196" s="43"/>
      <c r="O196" s="43"/>
      <c r="P196" s="43"/>
      <c r="Q196" s="43"/>
      <c r="R196" s="43"/>
      <c r="S196" s="43"/>
      <c r="T196" s="43"/>
      <c r="U196" s="43"/>
      <c r="V196" s="43"/>
    </row>
    <row r="197" spans="1:22" x14ac:dyDescent="0.3">
      <c r="A197" s="44"/>
      <c r="B197" s="44"/>
      <c r="C197" s="45"/>
      <c r="D197" s="43"/>
      <c r="E197" s="43"/>
      <c r="F197" s="43"/>
      <c r="G197" s="43"/>
      <c r="H197" s="43"/>
      <c r="I197" s="43"/>
      <c r="J197" s="43"/>
      <c r="K197" s="43"/>
      <c r="L197" s="43"/>
      <c r="M197" s="43"/>
      <c r="N197" s="43"/>
      <c r="O197" s="43"/>
      <c r="P197" s="43"/>
      <c r="Q197" s="43"/>
      <c r="R197" s="43"/>
      <c r="S197" s="43"/>
      <c r="T197" s="43"/>
      <c r="U197" s="43"/>
      <c r="V197" s="43"/>
    </row>
    <row r="198" spans="1:22" x14ac:dyDescent="0.3">
      <c r="A198" s="44"/>
      <c r="B198" s="44"/>
      <c r="C198" s="45"/>
      <c r="D198" s="43"/>
      <c r="E198" s="43"/>
      <c r="F198" s="43"/>
      <c r="G198" s="43"/>
      <c r="H198" s="43"/>
      <c r="I198" s="43"/>
      <c r="J198" s="43"/>
      <c r="K198" s="43"/>
      <c r="L198" s="43"/>
      <c r="M198" s="43"/>
      <c r="N198" s="43"/>
      <c r="O198" s="43"/>
      <c r="P198" s="43"/>
      <c r="Q198" s="43"/>
      <c r="R198" s="43"/>
      <c r="S198" s="43"/>
      <c r="T198" s="43"/>
      <c r="U198" s="43"/>
      <c r="V198" s="43"/>
    </row>
  </sheetData>
  <mergeCells count="1">
    <mergeCell ref="A1:V3"/>
  </mergeCells>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27B8E-172F-412D-AC98-006A07277E1C}">
  <dimension ref="A3:AE100"/>
  <sheetViews>
    <sheetView topLeftCell="Q64" zoomScale="115" zoomScaleNormal="115" workbookViewId="0">
      <selection activeCell="W75" sqref="W75"/>
    </sheetView>
  </sheetViews>
  <sheetFormatPr defaultRowHeight="14.4" x14ac:dyDescent="0.3"/>
  <cols>
    <col min="1" max="1" width="18.44140625" bestFit="1" customWidth="1"/>
    <col min="2" max="2" width="14.88671875" bestFit="1" customWidth="1"/>
    <col min="3" max="3" width="12.5546875" bestFit="1" customWidth="1"/>
    <col min="4" max="4" width="15.5546875" bestFit="1" customWidth="1"/>
    <col min="5" max="5" width="9" bestFit="1" customWidth="1"/>
    <col min="6" max="7" width="7.88671875" bestFit="1" customWidth="1"/>
    <col min="8" max="8" width="12.5546875" bestFit="1" customWidth="1"/>
    <col min="9" max="9" width="14.88671875" bestFit="1" customWidth="1"/>
    <col min="10" max="10" width="9" bestFit="1" customWidth="1"/>
    <col min="11" max="20" width="7.88671875" bestFit="1" customWidth="1"/>
    <col min="21" max="21" width="7" bestFit="1" customWidth="1"/>
    <col min="22" max="22" width="10.77734375" bestFit="1" customWidth="1"/>
    <col min="23" max="25" width="11.5546875" bestFit="1" customWidth="1"/>
    <col min="26" max="26" width="10.5546875" bestFit="1" customWidth="1"/>
    <col min="27" max="29" width="11.5546875" bestFit="1" customWidth="1"/>
    <col min="31" max="33" width="11.5546875" bestFit="1" customWidth="1"/>
    <col min="34" max="34" width="11.109375" bestFit="1" customWidth="1"/>
    <col min="35" max="37" width="11.5546875" bestFit="1" customWidth="1"/>
    <col min="38" max="38" width="11.33203125" bestFit="1" customWidth="1"/>
    <col min="39" max="41" width="11.5546875" bestFit="1" customWidth="1"/>
    <col min="42" max="42" width="9.44140625" bestFit="1" customWidth="1"/>
    <col min="43" max="49" width="11.5546875" bestFit="1" customWidth="1"/>
    <col min="50" max="50" width="10.21875" bestFit="1" customWidth="1"/>
    <col min="51" max="51" width="9.5546875" bestFit="1" customWidth="1"/>
    <col min="52" max="52" width="11.6640625" bestFit="1" customWidth="1"/>
    <col min="53" max="53" width="10.77734375" bestFit="1" customWidth="1"/>
  </cols>
  <sheetData>
    <row r="3" spans="1:3" x14ac:dyDescent="0.3">
      <c r="A3" s="11" t="s">
        <v>1337</v>
      </c>
      <c r="B3" t="s">
        <v>1333</v>
      </c>
      <c r="C3" t="s">
        <v>1332</v>
      </c>
    </row>
    <row r="4" spans="1:3" x14ac:dyDescent="0.3">
      <c r="A4" s="12" t="s">
        <v>1347</v>
      </c>
      <c r="B4" s="19">
        <v>43951.5</v>
      </c>
      <c r="C4" s="52">
        <v>225</v>
      </c>
    </row>
    <row r="5" spans="1:3" x14ac:dyDescent="0.3">
      <c r="A5" s="12" t="s">
        <v>1346</v>
      </c>
      <c r="B5" s="19">
        <v>34016.740000000005</v>
      </c>
      <c r="C5" s="52">
        <v>150</v>
      </c>
    </row>
    <row r="6" spans="1:3" x14ac:dyDescent="0.3">
      <c r="A6" s="12" t="s">
        <v>1350</v>
      </c>
      <c r="B6" s="19">
        <v>52376.79</v>
      </c>
      <c r="C6" s="52">
        <v>308</v>
      </c>
    </row>
    <row r="7" spans="1:3" x14ac:dyDescent="0.3">
      <c r="A7" s="12" t="s">
        <v>1343</v>
      </c>
      <c r="B7" s="19">
        <v>35133.75</v>
      </c>
      <c r="C7" s="52">
        <v>173</v>
      </c>
    </row>
    <row r="8" spans="1:3" x14ac:dyDescent="0.3">
      <c r="A8" s="12" t="s">
        <v>1351</v>
      </c>
      <c r="B8" s="19">
        <v>34616.54</v>
      </c>
      <c r="C8" s="52">
        <v>201</v>
      </c>
    </row>
    <row r="9" spans="1:3" x14ac:dyDescent="0.3">
      <c r="A9" s="12" t="s">
        <v>1349</v>
      </c>
      <c r="B9" s="19">
        <v>42426.909999999996</v>
      </c>
      <c r="C9" s="52">
        <v>234</v>
      </c>
    </row>
    <row r="10" spans="1:3" x14ac:dyDescent="0.3">
      <c r="A10" s="12" t="s">
        <v>1348</v>
      </c>
      <c r="B10" s="19">
        <v>49607.689999999995</v>
      </c>
      <c r="C10" s="52">
        <v>267</v>
      </c>
    </row>
    <row r="11" spans="1:3" x14ac:dyDescent="0.3">
      <c r="A11" s="12" t="s">
        <v>1344</v>
      </c>
      <c r="B11" s="19">
        <v>38604.12000000001</v>
      </c>
      <c r="C11" s="52">
        <v>234</v>
      </c>
    </row>
    <row r="12" spans="1:3" x14ac:dyDescent="0.3">
      <c r="A12" s="12" t="s">
        <v>1354</v>
      </c>
      <c r="B12" s="19">
        <v>38863.31</v>
      </c>
      <c r="C12" s="52">
        <v>183</v>
      </c>
    </row>
    <row r="13" spans="1:3" x14ac:dyDescent="0.3">
      <c r="A13" s="12" t="s">
        <v>1353</v>
      </c>
      <c r="B13" s="19">
        <v>53110.19999999999</v>
      </c>
      <c r="C13" s="52">
        <v>305</v>
      </c>
    </row>
    <row r="14" spans="1:3" x14ac:dyDescent="0.3">
      <c r="A14" s="12" t="s">
        <v>1352</v>
      </c>
      <c r="B14" s="19">
        <v>36643.280000000006</v>
      </c>
      <c r="C14" s="52">
        <v>176</v>
      </c>
    </row>
    <row r="15" spans="1:3" x14ac:dyDescent="0.3">
      <c r="A15" s="12" t="s">
        <v>1345</v>
      </c>
      <c r="B15" s="19">
        <v>39230.5</v>
      </c>
      <c r="C15" s="52">
        <v>229</v>
      </c>
    </row>
    <row r="16" spans="1:3" x14ac:dyDescent="0.3">
      <c r="A16" s="12" t="s">
        <v>1338</v>
      </c>
      <c r="B16" s="19">
        <v>498581.33</v>
      </c>
      <c r="C16" s="52">
        <v>2685</v>
      </c>
    </row>
    <row r="26" spans="2:3" x14ac:dyDescent="0.3">
      <c r="B26" s="11" t="s">
        <v>1337</v>
      </c>
      <c r="C26" t="s">
        <v>1333</v>
      </c>
    </row>
    <row r="27" spans="2:3" x14ac:dyDescent="0.3">
      <c r="B27" s="12" t="s">
        <v>783</v>
      </c>
      <c r="C27" s="19">
        <v>123362.66000000008</v>
      </c>
    </row>
    <row r="28" spans="2:3" x14ac:dyDescent="0.3">
      <c r="B28" s="12" t="s">
        <v>786</v>
      </c>
      <c r="C28" s="19">
        <v>123265.84000000016</v>
      </c>
    </row>
    <row r="29" spans="2:3" x14ac:dyDescent="0.3">
      <c r="B29" s="12" t="s">
        <v>785</v>
      </c>
      <c r="C29" s="19">
        <v>132689.11999999997</v>
      </c>
    </row>
    <row r="30" spans="2:3" x14ac:dyDescent="0.3">
      <c r="B30" s="12" t="s">
        <v>784</v>
      </c>
      <c r="C30" s="19">
        <v>119263.71000000002</v>
      </c>
    </row>
    <row r="31" spans="2:3" x14ac:dyDescent="0.3">
      <c r="B31" s="12" t="s">
        <v>1338</v>
      </c>
      <c r="C31" s="19">
        <v>498581.33000000025</v>
      </c>
    </row>
    <row r="36" spans="2:10" x14ac:dyDescent="0.3">
      <c r="B36" t="s">
        <v>1333</v>
      </c>
      <c r="C36" t="s">
        <v>1372</v>
      </c>
      <c r="D36" t="s">
        <v>1370</v>
      </c>
      <c r="E36" t="s">
        <v>1339</v>
      </c>
    </row>
    <row r="37" spans="2:10" x14ac:dyDescent="0.3">
      <c r="B37" s="19">
        <v>498581.33000000019</v>
      </c>
      <c r="C37" s="19">
        <v>68.364160000000027</v>
      </c>
      <c r="D37" s="52">
        <v>500</v>
      </c>
      <c r="E37" s="19">
        <v>34182.080000000016</v>
      </c>
    </row>
    <row r="38" spans="2:10" x14ac:dyDescent="0.3">
      <c r="B38">
        <f>GETPIVOTDATA("Sum of Sales",$B$36)</f>
        <v>498581.33000000019</v>
      </c>
      <c r="C38">
        <f>GETPIVOTDATA("Average of Profit2",$B$36)</f>
        <v>68.364160000000027</v>
      </c>
      <c r="D38">
        <f>GETPIVOTDATA("Count of Region",$B$36)</f>
        <v>500</v>
      </c>
      <c r="E38">
        <f>GETPIVOTDATA("Sum of Profit",$B$36)</f>
        <v>34182.080000000016</v>
      </c>
    </row>
    <row r="43" spans="2:10" x14ac:dyDescent="0.3">
      <c r="C43" s="11" t="s">
        <v>1373</v>
      </c>
    </row>
    <row r="44" spans="2:10" x14ac:dyDescent="0.3">
      <c r="C44" t="s">
        <v>789</v>
      </c>
      <c r="E44" t="s">
        <v>787</v>
      </c>
      <c r="G44" t="s">
        <v>788</v>
      </c>
      <c r="I44" t="s">
        <v>1374</v>
      </c>
      <c r="J44" t="s">
        <v>1375</v>
      </c>
    </row>
    <row r="45" spans="2:10" x14ac:dyDescent="0.3">
      <c r="C45" t="s">
        <v>1333</v>
      </c>
      <c r="D45" t="s">
        <v>1371</v>
      </c>
      <c r="E45" t="s">
        <v>1333</v>
      </c>
      <c r="F45" t="s">
        <v>1371</v>
      </c>
      <c r="G45" t="s">
        <v>1333</v>
      </c>
      <c r="H45" t="s">
        <v>1371</v>
      </c>
    </row>
    <row r="46" spans="2:10" x14ac:dyDescent="0.3">
      <c r="C46" s="19">
        <v>164547.98000000004</v>
      </c>
      <c r="D46" s="19">
        <v>153648.57000000004</v>
      </c>
      <c r="E46" s="19">
        <v>167120.33000000019</v>
      </c>
      <c r="F46" s="19">
        <v>156603.78999999995</v>
      </c>
      <c r="G46" s="19">
        <v>166913.01999999999</v>
      </c>
      <c r="H46" s="19">
        <v>154146.88999999998</v>
      </c>
      <c r="I46" s="19">
        <v>498581.33000000019</v>
      </c>
      <c r="J46" s="19">
        <v>464399.25</v>
      </c>
    </row>
    <row r="52" spans="1:3" x14ac:dyDescent="0.3">
      <c r="A52" s="11" t="s">
        <v>1337</v>
      </c>
      <c r="B52" t="s">
        <v>1332</v>
      </c>
      <c r="C52" t="s">
        <v>1333</v>
      </c>
    </row>
    <row r="53" spans="1:3" x14ac:dyDescent="0.3">
      <c r="A53" s="12" t="s">
        <v>1014</v>
      </c>
      <c r="B53" s="52">
        <v>16</v>
      </c>
      <c r="C53" s="19">
        <v>3206.52</v>
      </c>
    </row>
    <row r="54" spans="1:3" x14ac:dyDescent="0.3">
      <c r="A54" s="12" t="s">
        <v>1063</v>
      </c>
      <c r="B54" s="52">
        <v>10</v>
      </c>
      <c r="C54" s="19">
        <v>3034.31</v>
      </c>
    </row>
    <row r="55" spans="1:3" x14ac:dyDescent="0.3">
      <c r="A55" s="12" t="s">
        <v>1197</v>
      </c>
      <c r="B55" s="52">
        <v>12</v>
      </c>
      <c r="C55" s="19">
        <v>2301.3000000000002</v>
      </c>
    </row>
    <row r="56" spans="1:3" x14ac:dyDescent="0.3">
      <c r="A56" s="12" t="s">
        <v>1276</v>
      </c>
      <c r="B56" s="52">
        <v>10</v>
      </c>
      <c r="C56" s="19">
        <v>1996</v>
      </c>
    </row>
    <row r="57" spans="1:3" x14ac:dyDescent="0.3">
      <c r="A57" s="12" t="s">
        <v>854</v>
      </c>
      <c r="B57" s="52">
        <v>3</v>
      </c>
      <c r="C57" s="19">
        <v>1995.65</v>
      </c>
    </row>
    <row r="58" spans="1:3" x14ac:dyDescent="0.3">
      <c r="A58" s="12" t="s">
        <v>942</v>
      </c>
      <c r="B58" s="52">
        <v>7</v>
      </c>
      <c r="C58" s="19">
        <v>1995.19</v>
      </c>
    </row>
    <row r="59" spans="1:3" x14ac:dyDescent="0.3">
      <c r="A59" s="12" t="s">
        <v>886</v>
      </c>
      <c r="B59" s="52">
        <v>3</v>
      </c>
      <c r="C59" s="19">
        <v>1991.69</v>
      </c>
    </row>
    <row r="60" spans="1:3" x14ac:dyDescent="0.3">
      <c r="A60" s="12" t="s">
        <v>1129</v>
      </c>
      <c r="B60" s="52">
        <v>2</v>
      </c>
      <c r="C60" s="19">
        <v>1991.29</v>
      </c>
    </row>
    <row r="61" spans="1:3" x14ac:dyDescent="0.3">
      <c r="A61" s="12" t="s">
        <v>827</v>
      </c>
      <c r="B61" s="52">
        <v>5</v>
      </c>
      <c r="C61" s="19">
        <v>1990.61</v>
      </c>
    </row>
    <row r="62" spans="1:3" x14ac:dyDescent="0.3">
      <c r="A62" s="12" t="s">
        <v>1183</v>
      </c>
      <c r="B62" s="52">
        <v>8</v>
      </c>
      <c r="C62" s="19">
        <v>1981.38</v>
      </c>
    </row>
    <row r="63" spans="1:3" x14ac:dyDescent="0.3">
      <c r="A63" s="12" t="s">
        <v>1338</v>
      </c>
      <c r="B63" s="52">
        <v>76</v>
      </c>
      <c r="C63" s="19">
        <v>22483.940000000002</v>
      </c>
    </row>
    <row r="73" spans="3:31" x14ac:dyDescent="0.3">
      <c r="C73" s="11" t="s">
        <v>1339</v>
      </c>
      <c r="D73" s="11" t="s">
        <v>1373</v>
      </c>
    </row>
    <row r="74" spans="3:31" x14ac:dyDescent="0.3">
      <c r="C74" s="11" t="s">
        <v>1337</v>
      </c>
      <c r="D74" t="s">
        <v>792</v>
      </c>
      <c r="E74" t="s">
        <v>799</v>
      </c>
      <c r="F74" t="s">
        <v>794</v>
      </c>
      <c r="G74" t="s">
        <v>796</v>
      </c>
      <c r="H74" t="s">
        <v>795</v>
      </c>
      <c r="I74" t="s">
        <v>800</v>
      </c>
      <c r="J74" t="s">
        <v>801</v>
      </c>
      <c r="K74" t="s">
        <v>793</v>
      </c>
      <c r="L74" t="s">
        <v>791</v>
      </c>
      <c r="M74" t="s">
        <v>797</v>
      </c>
      <c r="N74" t="s">
        <v>790</v>
      </c>
      <c r="O74" t="s">
        <v>798</v>
      </c>
      <c r="P74" t="s">
        <v>1376</v>
      </c>
      <c r="Q74" t="s">
        <v>1338</v>
      </c>
      <c r="S74" s="54"/>
      <c r="T74" s="54" t="str" cm="1">
        <f t="array" ref="T74:AE74">D74:O74</f>
        <v>Binder</v>
      </c>
      <c r="U74" s="54" t="str">
        <v>Bookcase</v>
      </c>
      <c r="V74" s="54" t="str">
        <v>Chair</v>
      </c>
      <c r="W74" s="54" t="str">
        <v>Laptop</v>
      </c>
      <c r="X74" s="54" t="str">
        <v>Monitor</v>
      </c>
      <c r="Y74" s="54" t="str">
        <v>Paper</v>
      </c>
      <c r="Z74" s="54" t="str">
        <v>Pen</v>
      </c>
      <c r="AA74" s="54" t="str">
        <v>Phone</v>
      </c>
      <c r="AB74" s="54" t="str">
        <v>Printer</v>
      </c>
      <c r="AC74" s="54" t="str">
        <v>Sofa</v>
      </c>
      <c r="AD74" s="54" t="str">
        <v>Stapler</v>
      </c>
      <c r="AE74" s="54" t="str">
        <v>Table</v>
      </c>
    </row>
    <row r="75" spans="3:31" x14ac:dyDescent="0.3">
      <c r="C75" s="12" t="s">
        <v>783</v>
      </c>
      <c r="D75" s="19">
        <v>565.78</v>
      </c>
      <c r="E75" s="19">
        <v>1497.2800000000002</v>
      </c>
      <c r="F75" s="19">
        <v>-37.480000000000018</v>
      </c>
      <c r="G75" s="19">
        <v>1221.82</v>
      </c>
      <c r="H75" s="19">
        <v>695.6</v>
      </c>
      <c r="I75" s="19">
        <v>646.54</v>
      </c>
      <c r="J75" s="19">
        <v>1310.0700000000002</v>
      </c>
      <c r="K75" s="19">
        <v>753.99</v>
      </c>
      <c r="L75" s="19">
        <v>1050.8399999999999</v>
      </c>
      <c r="M75" s="19">
        <v>-256.36</v>
      </c>
      <c r="N75" s="19">
        <v>782.8599999999999</v>
      </c>
      <c r="O75" s="19">
        <v>1033.02</v>
      </c>
      <c r="P75" s="19"/>
      <c r="Q75" s="19">
        <v>9263.9600000000009</v>
      </c>
      <c r="S75" s="54" t="s">
        <v>783</v>
      </c>
      <c r="T75" s="55" cm="1">
        <f t="array" ref="T75:AE75">D75:O75</f>
        <v>565.78</v>
      </c>
      <c r="U75" s="54">
        <v>1497.2800000000002</v>
      </c>
      <c r="V75" s="54">
        <v>-37.480000000000018</v>
      </c>
      <c r="W75" s="54">
        <v>1221.82</v>
      </c>
      <c r="X75" s="54">
        <v>695.6</v>
      </c>
      <c r="Y75" s="54">
        <v>646.54</v>
      </c>
      <c r="Z75" s="54">
        <v>1310.0700000000002</v>
      </c>
      <c r="AA75" s="54">
        <v>753.99</v>
      </c>
      <c r="AB75" s="54">
        <v>1050.8399999999999</v>
      </c>
      <c r="AC75" s="54">
        <v>-256.36</v>
      </c>
      <c r="AD75" s="54">
        <v>782.8599999999999</v>
      </c>
      <c r="AE75" s="54">
        <v>1033.02</v>
      </c>
    </row>
    <row r="76" spans="3:31" x14ac:dyDescent="0.3">
      <c r="C76" s="12" t="s">
        <v>786</v>
      </c>
      <c r="D76" s="19">
        <v>331.69</v>
      </c>
      <c r="E76" s="19">
        <v>1548.8600000000004</v>
      </c>
      <c r="F76" s="19">
        <v>513.13</v>
      </c>
      <c r="G76" s="19">
        <v>166.73</v>
      </c>
      <c r="H76" s="19">
        <v>504.96</v>
      </c>
      <c r="I76" s="19">
        <v>859.81999999999994</v>
      </c>
      <c r="J76" s="19">
        <v>955.07999999999993</v>
      </c>
      <c r="K76" s="19">
        <v>848.99</v>
      </c>
      <c r="L76" s="19">
        <v>403.30999999999995</v>
      </c>
      <c r="M76" s="19">
        <v>959.31999999999994</v>
      </c>
      <c r="N76" s="19">
        <v>287.53999999999996</v>
      </c>
      <c r="O76" s="19">
        <v>579.69000000000005</v>
      </c>
      <c r="P76" s="19">
        <v>-33.06</v>
      </c>
      <c r="Q76" s="19">
        <v>7926.0599999999986</v>
      </c>
      <c r="S76" s="54" t="s">
        <v>786</v>
      </c>
      <c r="T76" s="55" cm="1">
        <f t="array" ref="T76:AE76">D76:O76</f>
        <v>331.69</v>
      </c>
      <c r="U76" s="54">
        <v>1548.8600000000004</v>
      </c>
      <c r="V76" s="54">
        <v>513.13</v>
      </c>
      <c r="W76" s="54">
        <v>166.73</v>
      </c>
      <c r="X76" s="54">
        <v>504.96</v>
      </c>
      <c r="Y76" s="54">
        <v>859.81999999999994</v>
      </c>
      <c r="Z76" s="54">
        <v>955.07999999999993</v>
      </c>
      <c r="AA76" s="54">
        <v>848.99</v>
      </c>
      <c r="AB76" s="54">
        <v>403.30999999999995</v>
      </c>
      <c r="AC76" s="54">
        <v>959.31999999999994</v>
      </c>
      <c r="AD76" s="54">
        <v>287.53999999999996</v>
      </c>
      <c r="AE76" s="54">
        <v>579.69000000000005</v>
      </c>
    </row>
    <row r="77" spans="3:31" x14ac:dyDescent="0.3">
      <c r="C77" s="12" t="s">
        <v>785</v>
      </c>
      <c r="D77" s="19">
        <v>933.84</v>
      </c>
      <c r="E77" s="19">
        <v>419.77</v>
      </c>
      <c r="F77" s="19">
        <v>301.5</v>
      </c>
      <c r="G77" s="19">
        <v>1355.6</v>
      </c>
      <c r="H77" s="19">
        <v>133.96</v>
      </c>
      <c r="I77" s="19">
        <v>134.51</v>
      </c>
      <c r="J77" s="19">
        <v>201.95999999999995</v>
      </c>
      <c r="K77" s="19">
        <v>351.37</v>
      </c>
      <c r="L77" s="19">
        <v>1096.1299999999999</v>
      </c>
      <c r="M77" s="19">
        <v>367.68999999999994</v>
      </c>
      <c r="N77" s="19">
        <v>1079.18</v>
      </c>
      <c r="O77" s="19">
        <v>962.58</v>
      </c>
      <c r="P77" s="19"/>
      <c r="Q77" s="19">
        <v>7338.09</v>
      </c>
      <c r="S77" s="54" t="s">
        <v>785</v>
      </c>
      <c r="T77" s="55" cm="1">
        <f t="array" ref="T77:AE77">D77:O77</f>
        <v>933.84</v>
      </c>
      <c r="U77" s="54">
        <v>419.77</v>
      </c>
      <c r="V77" s="54">
        <v>301.5</v>
      </c>
      <c r="W77" s="54">
        <v>1355.6</v>
      </c>
      <c r="X77" s="54">
        <v>133.96</v>
      </c>
      <c r="Y77" s="54">
        <v>134.51</v>
      </c>
      <c r="Z77" s="54">
        <v>201.95999999999995</v>
      </c>
      <c r="AA77" s="54">
        <v>351.37</v>
      </c>
      <c r="AB77" s="54">
        <v>1096.1299999999999</v>
      </c>
      <c r="AC77" s="54">
        <v>367.68999999999994</v>
      </c>
      <c r="AD77" s="54">
        <v>1079.18</v>
      </c>
      <c r="AE77" s="54">
        <v>962.58</v>
      </c>
    </row>
    <row r="78" spans="3:31" x14ac:dyDescent="0.3">
      <c r="C78" s="12" t="s">
        <v>784</v>
      </c>
      <c r="D78" s="19">
        <v>608.84999999999991</v>
      </c>
      <c r="E78" s="19">
        <v>1107.5300000000002</v>
      </c>
      <c r="F78" s="19">
        <v>736.81000000000006</v>
      </c>
      <c r="G78" s="19">
        <v>1413.5600000000002</v>
      </c>
      <c r="H78" s="19">
        <v>596.99</v>
      </c>
      <c r="I78" s="19">
        <v>258.93</v>
      </c>
      <c r="J78" s="19">
        <v>460.1699999999999</v>
      </c>
      <c r="K78" s="19">
        <v>1441.36</v>
      </c>
      <c r="L78" s="19">
        <v>730.91999999999985</v>
      </c>
      <c r="M78" s="19">
        <v>639.57000000000005</v>
      </c>
      <c r="N78" s="19">
        <v>1132.78</v>
      </c>
      <c r="O78" s="19">
        <v>526.5</v>
      </c>
      <c r="P78" s="19"/>
      <c r="Q78" s="19">
        <v>9653.9699999999993</v>
      </c>
      <c r="S78" s="54" t="s">
        <v>784</v>
      </c>
      <c r="T78" s="55" cm="1">
        <f t="array" ref="T78:AE78">D78:O78</f>
        <v>608.84999999999991</v>
      </c>
      <c r="U78" s="54">
        <v>1107.5300000000002</v>
      </c>
      <c r="V78" s="54">
        <v>736.81000000000006</v>
      </c>
      <c r="W78" s="54">
        <v>1413.5600000000002</v>
      </c>
      <c r="X78" s="54">
        <v>596.99</v>
      </c>
      <c r="Y78" s="54">
        <v>258.93</v>
      </c>
      <c r="Z78" s="54">
        <v>460.1699999999999</v>
      </c>
      <c r="AA78" s="54">
        <v>1441.36</v>
      </c>
      <c r="AB78" s="54">
        <v>730.91999999999985</v>
      </c>
      <c r="AC78" s="54">
        <v>639.57000000000005</v>
      </c>
      <c r="AD78" s="54">
        <v>1132.78</v>
      </c>
      <c r="AE78" s="54">
        <v>526.5</v>
      </c>
    </row>
    <row r="79" spans="3:31" x14ac:dyDescent="0.3">
      <c r="C79" s="12" t="s">
        <v>1338</v>
      </c>
      <c r="D79" s="19">
        <v>2440.16</v>
      </c>
      <c r="E79" s="19">
        <v>4573.4400000000005</v>
      </c>
      <c r="F79" s="19">
        <v>1513.96</v>
      </c>
      <c r="G79" s="19">
        <v>4157.71</v>
      </c>
      <c r="H79" s="19">
        <v>1931.51</v>
      </c>
      <c r="I79" s="19">
        <v>1899.8</v>
      </c>
      <c r="J79" s="19">
        <v>2927.28</v>
      </c>
      <c r="K79" s="19">
        <v>3395.71</v>
      </c>
      <c r="L79" s="19">
        <v>3281.2</v>
      </c>
      <c r="M79" s="19">
        <v>1710.2199999999998</v>
      </c>
      <c r="N79" s="19">
        <v>3282.3599999999997</v>
      </c>
      <c r="O79" s="19">
        <v>3101.79</v>
      </c>
      <c r="P79" s="19">
        <v>-33.06</v>
      </c>
      <c r="Q79" s="19">
        <v>34182.080000000002</v>
      </c>
    </row>
    <row r="86" spans="4:9" x14ac:dyDescent="0.3">
      <c r="H86" s="11" t="s">
        <v>1337</v>
      </c>
      <c r="I86" t="s">
        <v>1332</v>
      </c>
    </row>
    <row r="87" spans="4:9" x14ac:dyDescent="0.3">
      <c r="H87" s="12" t="s">
        <v>792</v>
      </c>
      <c r="I87" s="52">
        <v>210</v>
      </c>
    </row>
    <row r="88" spans="4:9" x14ac:dyDescent="0.3">
      <c r="D88" s="53"/>
      <c r="H88" s="12" t="s">
        <v>799</v>
      </c>
      <c r="I88" s="52">
        <v>212</v>
      </c>
    </row>
    <row r="89" spans="4:9" x14ac:dyDescent="0.3">
      <c r="H89" s="12" t="s">
        <v>794</v>
      </c>
      <c r="I89" s="52">
        <v>240</v>
      </c>
    </row>
    <row r="90" spans="4:9" x14ac:dyDescent="0.3">
      <c r="H90" s="12" t="s">
        <v>796</v>
      </c>
      <c r="I90" s="52">
        <v>262</v>
      </c>
    </row>
    <row r="91" spans="4:9" x14ac:dyDescent="0.3">
      <c r="H91" s="12" t="s">
        <v>795</v>
      </c>
      <c r="I91" s="52">
        <v>170</v>
      </c>
    </row>
    <row r="92" spans="4:9" x14ac:dyDescent="0.3">
      <c r="H92" s="12" t="s">
        <v>800</v>
      </c>
      <c r="I92" s="52">
        <v>204</v>
      </c>
    </row>
    <row r="93" spans="4:9" x14ac:dyDescent="0.3">
      <c r="H93" s="12" t="s">
        <v>801</v>
      </c>
      <c r="I93" s="52">
        <v>245</v>
      </c>
    </row>
    <row r="94" spans="4:9" x14ac:dyDescent="0.3">
      <c r="H94" s="12" t="s">
        <v>793</v>
      </c>
      <c r="I94" s="52">
        <v>249</v>
      </c>
    </row>
    <row r="95" spans="4:9" x14ac:dyDescent="0.3">
      <c r="H95" s="12" t="s">
        <v>791</v>
      </c>
      <c r="I95" s="52">
        <v>245</v>
      </c>
    </row>
    <row r="96" spans="4:9" x14ac:dyDescent="0.3">
      <c r="H96" s="12" t="s">
        <v>797</v>
      </c>
      <c r="I96" s="52">
        <v>211</v>
      </c>
    </row>
    <row r="97" spans="8:9" x14ac:dyDescent="0.3">
      <c r="H97" s="12" t="s">
        <v>790</v>
      </c>
      <c r="I97" s="52">
        <v>207</v>
      </c>
    </row>
    <row r="98" spans="8:9" x14ac:dyDescent="0.3">
      <c r="H98" s="12" t="s">
        <v>798</v>
      </c>
      <c r="I98" s="52">
        <v>228</v>
      </c>
    </row>
    <row r="99" spans="8:9" x14ac:dyDescent="0.3">
      <c r="H99" s="12" t="s">
        <v>1376</v>
      </c>
      <c r="I99" s="52">
        <v>2</v>
      </c>
    </row>
    <row r="100" spans="8:9" x14ac:dyDescent="0.3">
      <c r="H100" s="12" t="s">
        <v>1338</v>
      </c>
      <c r="I100" s="52">
        <v>2685</v>
      </c>
    </row>
  </sheetData>
  <conditionalFormatting sqref="C38">
    <cfRule type="cellIs" dxfId="3" priority="8" operator="lessThan">
      <formula>50</formula>
    </cfRule>
    <cfRule type="cellIs" dxfId="2" priority="9" operator="greaterThanOrEqual">
      <formula>50</formula>
    </cfRule>
  </conditionalFormatting>
  <conditionalFormatting sqref="S74:AE78">
    <cfRule type="cellIs" dxfId="1" priority="1" operator="greaterThan">
      <formula>0</formula>
    </cfRule>
    <cfRule type="cellIs" dxfId="0" priority="2" operator="lessThan">
      <formula>0</formula>
    </cfRule>
  </conditionalFormatting>
  <pageMargins left="0.7" right="0.7" top="0.75" bottom="0.75" header="0.3" footer="0.3"/>
  <drawing r:id="rId8"/>
  <extLst>
    <ext xmlns:x14="http://schemas.microsoft.com/office/spreadsheetml/2009/9/main" uri="{A8765BA9-456A-4dab-B4F3-ACF838C121DE}">
      <x14:slicerList>
        <x14:slicer r:id="rId9"/>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vt:lpstr>
      <vt:lpstr>Qustions </vt:lpstr>
      <vt:lpstr>Data Cleaning &amp; Transf</vt:lpstr>
      <vt:lpstr>EDA</vt:lpstr>
      <vt:lpstr>Advanced Analysis</vt:lpstr>
      <vt:lpstr>Pviot(advance Analysts) </vt:lpstr>
      <vt:lpstr>Dashboard Tasks (Visualization)</vt:lpstr>
      <vt:lpstr>backend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Prerak Pandya</dc:creator>
  <cp:lastModifiedBy>eqtbh</cp:lastModifiedBy>
  <dcterms:created xsi:type="dcterms:W3CDTF">2025-11-04T12:10:21Z</dcterms:created>
  <dcterms:modified xsi:type="dcterms:W3CDTF">2025-11-06T12:06:50Z</dcterms:modified>
</cp:coreProperties>
</file>